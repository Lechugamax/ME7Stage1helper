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90" windowWidth="20115" windowHeight="8520"/>
  </bookViews>
  <sheets>
    <sheet name="Inputs" sheetId="1" r:id="rId1"/>
    <sheet name="Weights" sheetId="2" state="hidden" r:id="rId2"/>
    <sheet name="Calc" sheetId="3" state="hidden" r:id="rId3"/>
  </sheets>
  <functionGroups builtInGroupCount="17"/>
  <calcPr calcId="145621"/>
</workbook>
</file>

<file path=xl/calcChain.xml><?xml version="1.0" encoding="utf-8"?>
<calcChain xmlns="http://schemas.openxmlformats.org/spreadsheetml/2006/main">
  <c r="S28" i="3" l="1"/>
  <c r="R28" i="3"/>
  <c r="Q28" i="3"/>
  <c r="P28" i="3"/>
  <c r="O28" i="3"/>
  <c r="N28" i="3"/>
  <c r="M28" i="3"/>
  <c r="L28" i="3"/>
  <c r="K28" i="3"/>
  <c r="J28" i="3"/>
  <c r="I28" i="3"/>
  <c r="H28" i="3"/>
  <c r="G28" i="3"/>
  <c r="F28" i="3"/>
  <c r="E28" i="3"/>
  <c r="D28" i="3"/>
  <c r="W7" i="1"/>
  <c r="V7" i="1"/>
  <c r="U7" i="1"/>
  <c r="T7" i="1"/>
  <c r="S7" i="1"/>
  <c r="H4" i="1" l="1"/>
  <c r="F75" i="1" l="1"/>
  <c r="F74" i="1"/>
  <c r="F73" i="1"/>
  <c r="V95" i="1" l="1"/>
  <c r="U95" i="1"/>
  <c r="T95" i="1"/>
  <c r="S95" i="1"/>
  <c r="R95" i="1"/>
  <c r="Q95" i="1"/>
  <c r="P95" i="1"/>
  <c r="O95" i="1"/>
  <c r="N95" i="1"/>
  <c r="M95" i="1"/>
  <c r="L95" i="1"/>
  <c r="K95" i="1"/>
  <c r="J95" i="1"/>
  <c r="I95" i="1"/>
  <c r="H95" i="1"/>
  <c r="G95" i="1"/>
  <c r="S35" i="2"/>
  <c r="R35" i="2"/>
  <c r="Q35" i="2"/>
  <c r="P35" i="2"/>
  <c r="O35" i="2"/>
  <c r="N35" i="2"/>
  <c r="M35" i="2"/>
  <c r="L35" i="2"/>
  <c r="K35" i="2"/>
  <c r="J35" i="2"/>
  <c r="I35" i="2"/>
  <c r="H35" i="2"/>
  <c r="G35" i="2"/>
  <c r="F35" i="2"/>
  <c r="E35" i="2"/>
  <c r="D35" i="2"/>
  <c r="F72" i="1"/>
  <c r="F71" i="1"/>
  <c r="F70" i="1"/>
  <c r="F69" i="1"/>
  <c r="F68" i="1"/>
  <c r="F67" i="1"/>
  <c r="F66" i="1"/>
  <c r="F65" i="1"/>
  <c r="V78" i="1"/>
  <c r="V64" i="1"/>
  <c r="U64" i="1"/>
  <c r="T64" i="1"/>
  <c r="S64" i="1"/>
  <c r="R64" i="1"/>
  <c r="Q64" i="1"/>
  <c r="P64" i="1"/>
  <c r="O64" i="1"/>
  <c r="N64" i="1"/>
  <c r="M64" i="1"/>
  <c r="L64" i="1"/>
  <c r="K64" i="1"/>
  <c r="J64" i="1"/>
  <c r="I64" i="1"/>
  <c r="H64" i="1"/>
  <c r="G64" i="1"/>
  <c r="C33" i="2"/>
  <c r="CX31" i="2"/>
  <c r="CW31" i="2"/>
  <c r="CV31" i="2"/>
  <c r="CU31" i="2"/>
  <c r="CT31" i="2"/>
  <c r="CS31" i="2"/>
  <c r="CR31" i="2"/>
  <c r="CQ31" i="2"/>
  <c r="CP31" i="2"/>
  <c r="CO31" i="2"/>
  <c r="CN31" i="2"/>
  <c r="CM31" i="2"/>
  <c r="CL31" i="2"/>
  <c r="CJ31" i="2"/>
  <c r="CI31" i="2"/>
  <c r="CH31" i="2"/>
  <c r="CG31" i="2"/>
  <c r="CE31" i="2"/>
  <c r="CD31" i="2"/>
  <c r="CC31" i="2"/>
  <c r="CB31" i="2"/>
  <c r="BZ31" i="2"/>
  <c r="BY31" i="2"/>
  <c r="BX31" i="2"/>
  <c r="BW31" i="2"/>
  <c r="BU31" i="2"/>
  <c r="BT31" i="2"/>
  <c r="BS31" i="2"/>
  <c r="BR31" i="2"/>
  <c r="BQ31" i="2"/>
  <c r="BP31" i="2"/>
  <c r="BO31" i="2"/>
  <c r="BN31" i="2"/>
  <c r="BM31" i="2"/>
  <c r="BK31" i="2"/>
  <c r="BJ31" i="2"/>
  <c r="BI31" i="2"/>
  <c r="BH31" i="2"/>
  <c r="BG31" i="2"/>
  <c r="BF31" i="2"/>
  <c r="BE31" i="2"/>
  <c r="BD31" i="2"/>
  <c r="BC31" i="2"/>
  <c r="BA31" i="2"/>
  <c r="AZ31" i="2"/>
  <c r="AY31" i="2"/>
  <c r="AX31" i="2"/>
  <c r="AW31" i="2"/>
  <c r="AV31" i="2"/>
  <c r="AU31" i="2"/>
  <c r="AT31" i="2"/>
  <c r="AS31" i="2"/>
  <c r="AQ31" i="2"/>
  <c r="AP31" i="2"/>
  <c r="AO31" i="2"/>
  <c r="AN31" i="2"/>
  <c r="AL31" i="2"/>
  <c r="AK31" i="2"/>
  <c r="AJ31" i="2"/>
  <c r="AI31" i="2"/>
  <c r="AG31" i="2"/>
  <c r="AF31" i="2"/>
  <c r="AE31" i="2"/>
  <c r="AD31" i="2"/>
  <c r="AB31" i="2"/>
  <c r="AA31" i="2"/>
  <c r="Z31" i="2"/>
  <c r="Y31" i="2"/>
  <c r="W31" i="2"/>
  <c r="V31" i="2"/>
  <c r="U31" i="2"/>
  <c r="T31" i="2"/>
  <c r="R31" i="2"/>
  <c r="Q31" i="2"/>
  <c r="P31" i="2"/>
  <c r="O31" i="2"/>
  <c r="M31" i="2"/>
  <c r="L31" i="2"/>
  <c r="K31" i="2"/>
  <c r="J31" i="2"/>
  <c r="H31" i="2"/>
  <c r="G31" i="2"/>
  <c r="F31" i="2"/>
  <c r="E31" i="2"/>
  <c r="CX30" i="2"/>
  <c r="CW30" i="2"/>
  <c r="CV30" i="2"/>
  <c r="CU30" i="2"/>
  <c r="CT30" i="2"/>
  <c r="CS30" i="2"/>
  <c r="CR30" i="2"/>
  <c r="CQ30" i="2"/>
  <c r="CP30" i="2"/>
  <c r="CO30" i="2"/>
  <c r="CN30" i="2"/>
  <c r="CM30" i="2"/>
  <c r="CL30" i="2"/>
  <c r="CJ30" i="2"/>
  <c r="CI30" i="2"/>
  <c r="CH30" i="2"/>
  <c r="CG30" i="2"/>
  <c r="CE30" i="2"/>
  <c r="CD30" i="2"/>
  <c r="CC30" i="2"/>
  <c r="CB30" i="2"/>
  <c r="BZ30" i="2"/>
  <c r="BY30" i="2"/>
  <c r="BX30" i="2"/>
  <c r="BW30" i="2"/>
  <c r="BU30" i="2"/>
  <c r="BT30" i="2"/>
  <c r="BS30" i="2"/>
  <c r="BR30" i="2"/>
  <c r="BQ30" i="2"/>
  <c r="BP30" i="2"/>
  <c r="BO30" i="2"/>
  <c r="BN30" i="2"/>
  <c r="BM30" i="2"/>
  <c r="BK30" i="2"/>
  <c r="BJ30" i="2"/>
  <c r="BI30" i="2"/>
  <c r="BH30" i="2"/>
  <c r="BG30" i="2"/>
  <c r="BF30" i="2"/>
  <c r="BE30" i="2"/>
  <c r="BD30" i="2"/>
  <c r="BC30" i="2"/>
  <c r="BA30" i="2"/>
  <c r="AZ30" i="2"/>
  <c r="AY30" i="2"/>
  <c r="AX30" i="2"/>
  <c r="AW30" i="2"/>
  <c r="AV30" i="2"/>
  <c r="AU30" i="2"/>
  <c r="AT30" i="2"/>
  <c r="AS30" i="2"/>
  <c r="AQ30" i="2"/>
  <c r="AP30" i="2"/>
  <c r="AO30" i="2"/>
  <c r="AN30" i="2"/>
  <c r="AL30" i="2"/>
  <c r="AK30" i="2"/>
  <c r="AJ30" i="2"/>
  <c r="AI30" i="2"/>
  <c r="AG30" i="2"/>
  <c r="AF30" i="2"/>
  <c r="AE30" i="2"/>
  <c r="AD30" i="2"/>
  <c r="AB30" i="2"/>
  <c r="AA30" i="2"/>
  <c r="Z30" i="2"/>
  <c r="Y30" i="2"/>
  <c r="W30" i="2"/>
  <c r="V30" i="2"/>
  <c r="U30" i="2"/>
  <c r="T30" i="2"/>
  <c r="R30" i="2"/>
  <c r="Q30" i="2"/>
  <c r="P30" i="2"/>
  <c r="O30" i="2"/>
  <c r="M30" i="2"/>
  <c r="L30" i="2"/>
  <c r="K30" i="2"/>
  <c r="J30" i="2"/>
  <c r="H30" i="2"/>
  <c r="G30" i="2"/>
  <c r="F30" i="2"/>
  <c r="E30" i="2"/>
  <c r="CX29" i="2"/>
  <c r="CW29" i="2"/>
  <c r="CV29" i="2"/>
  <c r="CU29" i="2"/>
  <c r="CT29" i="2"/>
  <c r="CS29" i="2"/>
  <c r="CR29" i="2"/>
  <c r="CQ29" i="2"/>
  <c r="CP29" i="2"/>
  <c r="CO29" i="2"/>
  <c r="CN29" i="2"/>
  <c r="CM29" i="2"/>
  <c r="CL29" i="2"/>
  <c r="CJ29" i="2"/>
  <c r="CI29" i="2"/>
  <c r="CH29" i="2"/>
  <c r="CG29" i="2"/>
  <c r="CE29" i="2"/>
  <c r="CD29" i="2"/>
  <c r="CC29" i="2"/>
  <c r="CB29" i="2"/>
  <c r="BZ29" i="2"/>
  <c r="BY29" i="2"/>
  <c r="BX29" i="2"/>
  <c r="BW29" i="2"/>
  <c r="BU29" i="2"/>
  <c r="BT29" i="2"/>
  <c r="BS29" i="2"/>
  <c r="BR29" i="2"/>
  <c r="BQ29" i="2"/>
  <c r="BP29" i="2"/>
  <c r="BO29" i="2"/>
  <c r="BN29" i="2"/>
  <c r="BM29" i="2"/>
  <c r="BK29" i="2"/>
  <c r="BJ29" i="2"/>
  <c r="BI29" i="2"/>
  <c r="BH29" i="2"/>
  <c r="BG29" i="2"/>
  <c r="BF29" i="2"/>
  <c r="BE29" i="2"/>
  <c r="BD29" i="2"/>
  <c r="BC29" i="2"/>
  <c r="BA29" i="2"/>
  <c r="AZ29" i="2"/>
  <c r="AY29" i="2"/>
  <c r="AX29" i="2"/>
  <c r="AW29" i="2"/>
  <c r="AV29" i="2"/>
  <c r="AU29" i="2"/>
  <c r="AT29" i="2"/>
  <c r="AS29" i="2"/>
  <c r="AQ29" i="2"/>
  <c r="AP29" i="2"/>
  <c r="AO29" i="2"/>
  <c r="AN29" i="2"/>
  <c r="AL29" i="2"/>
  <c r="AK29" i="2"/>
  <c r="AJ29" i="2"/>
  <c r="AI29" i="2"/>
  <c r="AG29" i="2"/>
  <c r="AF29" i="2"/>
  <c r="AE29" i="2"/>
  <c r="AD29" i="2"/>
  <c r="AB29" i="2"/>
  <c r="AA29" i="2"/>
  <c r="Z29" i="2"/>
  <c r="Y29" i="2"/>
  <c r="W29" i="2"/>
  <c r="V29" i="2"/>
  <c r="U29" i="2"/>
  <c r="T29" i="2"/>
  <c r="R29" i="2"/>
  <c r="Q29" i="2"/>
  <c r="P29" i="2"/>
  <c r="O29" i="2"/>
  <c r="M29" i="2"/>
  <c r="L29" i="2"/>
  <c r="K29" i="2"/>
  <c r="J29" i="2"/>
  <c r="H29" i="2"/>
  <c r="G29" i="2"/>
  <c r="F29" i="2"/>
  <c r="E29" i="2"/>
  <c r="CX28" i="2"/>
  <c r="CW28" i="2"/>
  <c r="CV28" i="2"/>
  <c r="CU28" i="2"/>
  <c r="CT28" i="2"/>
  <c r="CS28" i="2"/>
  <c r="CR28" i="2"/>
  <c r="CQ28" i="2"/>
  <c r="CP28" i="2"/>
  <c r="CO28" i="2"/>
  <c r="CN28" i="2"/>
  <c r="CM28" i="2"/>
  <c r="CL28" i="2"/>
  <c r="CJ28" i="2"/>
  <c r="CI28" i="2"/>
  <c r="CH28" i="2"/>
  <c r="CG28" i="2"/>
  <c r="CE28" i="2"/>
  <c r="CD28" i="2"/>
  <c r="CC28" i="2"/>
  <c r="CB28" i="2"/>
  <c r="BZ28" i="2"/>
  <c r="BY28" i="2"/>
  <c r="BX28" i="2"/>
  <c r="BW28" i="2"/>
  <c r="BU28" i="2"/>
  <c r="BT28" i="2"/>
  <c r="BS28" i="2"/>
  <c r="BR28" i="2"/>
  <c r="BQ28" i="2"/>
  <c r="BP28" i="2"/>
  <c r="BO28" i="2"/>
  <c r="BN28" i="2"/>
  <c r="BM28" i="2"/>
  <c r="BK28" i="2"/>
  <c r="BJ28" i="2"/>
  <c r="BI28" i="2"/>
  <c r="BH28" i="2"/>
  <c r="BG28" i="2"/>
  <c r="BF28" i="2"/>
  <c r="BE28" i="2"/>
  <c r="BD28" i="2"/>
  <c r="BC28" i="2"/>
  <c r="BA28" i="2"/>
  <c r="AZ28" i="2"/>
  <c r="AY28" i="2"/>
  <c r="AX28" i="2"/>
  <c r="AW28" i="2"/>
  <c r="AV28" i="2"/>
  <c r="AU28" i="2"/>
  <c r="AT28" i="2"/>
  <c r="AS28" i="2"/>
  <c r="AQ28" i="2"/>
  <c r="AP28" i="2"/>
  <c r="AO28" i="2"/>
  <c r="AN28" i="2"/>
  <c r="AL28" i="2"/>
  <c r="AK28" i="2"/>
  <c r="AJ28" i="2"/>
  <c r="AI28" i="2"/>
  <c r="AG28" i="2"/>
  <c r="AF28" i="2"/>
  <c r="AE28" i="2"/>
  <c r="AD28" i="2"/>
  <c r="AB28" i="2"/>
  <c r="AA28" i="2"/>
  <c r="Z28" i="2"/>
  <c r="Y28" i="2"/>
  <c r="W28" i="2"/>
  <c r="V28" i="2"/>
  <c r="U28" i="2"/>
  <c r="T28" i="2"/>
  <c r="R28" i="2"/>
  <c r="Q28" i="2"/>
  <c r="P28" i="2"/>
  <c r="O28" i="2"/>
  <c r="M28" i="2"/>
  <c r="L28" i="2"/>
  <c r="K28" i="2"/>
  <c r="J28" i="2"/>
  <c r="H28" i="2"/>
  <c r="G28" i="2"/>
  <c r="F28" i="2"/>
  <c r="E28" i="2"/>
  <c r="CX27" i="2"/>
  <c r="CW27" i="2"/>
  <c r="CV27" i="2"/>
  <c r="CU27" i="2"/>
  <c r="CT27" i="2"/>
  <c r="CS27" i="2"/>
  <c r="CR27" i="2"/>
  <c r="CQ27" i="2"/>
  <c r="CP27" i="2"/>
  <c r="CO27" i="2"/>
  <c r="CN27" i="2"/>
  <c r="CM27" i="2"/>
  <c r="CL27" i="2"/>
  <c r="CJ27" i="2"/>
  <c r="CI27" i="2"/>
  <c r="CH27" i="2"/>
  <c r="CG27" i="2"/>
  <c r="CE27" i="2"/>
  <c r="CD27" i="2"/>
  <c r="CC27" i="2"/>
  <c r="CB27" i="2"/>
  <c r="BZ27" i="2"/>
  <c r="BY27" i="2"/>
  <c r="BX27" i="2"/>
  <c r="BW27" i="2"/>
  <c r="BU27" i="2"/>
  <c r="BT27" i="2"/>
  <c r="BS27" i="2"/>
  <c r="BR27" i="2"/>
  <c r="BQ27" i="2"/>
  <c r="BP27" i="2"/>
  <c r="BO27" i="2"/>
  <c r="BN27" i="2"/>
  <c r="BM27" i="2"/>
  <c r="BK27" i="2"/>
  <c r="BJ27" i="2"/>
  <c r="BI27" i="2"/>
  <c r="BH27" i="2"/>
  <c r="BG27" i="2"/>
  <c r="BF27" i="2"/>
  <c r="BE27" i="2"/>
  <c r="BD27" i="2"/>
  <c r="BC27" i="2"/>
  <c r="BA27" i="2"/>
  <c r="AZ27" i="2"/>
  <c r="AY27" i="2"/>
  <c r="AX27" i="2"/>
  <c r="AW27" i="2"/>
  <c r="AV27" i="2"/>
  <c r="AU27" i="2"/>
  <c r="AT27" i="2"/>
  <c r="AS27" i="2"/>
  <c r="AQ27" i="2"/>
  <c r="AP27" i="2"/>
  <c r="AO27" i="2"/>
  <c r="AN27" i="2"/>
  <c r="AL27" i="2"/>
  <c r="AK27" i="2"/>
  <c r="AJ27" i="2"/>
  <c r="AI27" i="2"/>
  <c r="AG27" i="2"/>
  <c r="AF27" i="2"/>
  <c r="AE27" i="2"/>
  <c r="AD27" i="2"/>
  <c r="AB27" i="2"/>
  <c r="AA27" i="2"/>
  <c r="Z27" i="2"/>
  <c r="Y27" i="2"/>
  <c r="W27" i="2"/>
  <c r="V27" i="2"/>
  <c r="U27" i="2"/>
  <c r="T27" i="2"/>
  <c r="R27" i="2"/>
  <c r="Q27" i="2"/>
  <c r="P27" i="2"/>
  <c r="O27" i="2"/>
  <c r="M27" i="2"/>
  <c r="L27" i="2"/>
  <c r="K27" i="2"/>
  <c r="J27" i="2"/>
  <c r="H27" i="2"/>
  <c r="G27" i="2"/>
  <c r="F27" i="2"/>
  <c r="E27" i="2"/>
  <c r="CX26" i="2"/>
  <c r="CW26" i="2"/>
  <c r="CV26" i="2"/>
  <c r="CU26" i="2"/>
  <c r="CT26" i="2"/>
  <c r="CS26" i="2"/>
  <c r="CR26" i="2"/>
  <c r="CQ26" i="2"/>
  <c r="CP26" i="2"/>
  <c r="CO26" i="2"/>
  <c r="CN26" i="2"/>
  <c r="CM26" i="2"/>
  <c r="CL26" i="2"/>
  <c r="CJ26" i="2"/>
  <c r="CI26" i="2"/>
  <c r="CH26" i="2"/>
  <c r="CG26" i="2"/>
  <c r="CE26" i="2"/>
  <c r="CD26" i="2"/>
  <c r="CC26" i="2"/>
  <c r="CB26" i="2"/>
  <c r="BZ26" i="2"/>
  <c r="BY26" i="2"/>
  <c r="BX26" i="2"/>
  <c r="BW26" i="2"/>
  <c r="BU26" i="2"/>
  <c r="BT26" i="2"/>
  <c r="BS26" i="2"/>
  <c r="BR26" i="2"/>
  <c r="BQ26" i="2"/>
  <c r="BP26" i="2"/>
  <c r="BO26" i="2"/>
  <c r="BN26" i="2"/>
  <c r="BM26" i="2"/>
  <c r="BK26" i="2"/>
  <c r="BJ26" i="2"/>
  <c r="BI26" i="2"/>
  <c r="BH26" i="2"/>
  <c r="BG26" i="2"/>
  <c r="BF26" i="2"/>
  <c r="BE26" i="2"/>
  <c r="BD26" i="2"/>
  <c r="BC26" i="2"/>
  <c r="BA26" i="2"/>
  <c r="AZ26" i="2"/>
  <c r="AY26" i="2"/>
  <c r="AX26" i="2"/>
  <c r="AW26" i="2"/>
  <c r="AV26" i="2"/>
  <c r="AU26" i="2"/>
  <c r="AT26" i="2"/>
  <c r="AS26" i="2"/>
  <c r="AQ26" i="2"/>
  <c r="AP26" i="2"/>
  <c r="AO26" i="2"/>
  <c r="AN26" i="2"/>
  <c r="AL26" i="2"/>
  <c r="AK26" i="2"/>
  <c r="AJ26" i="2"/>
  <c r="AI26" i="2"/>
  <c r="AG26" i="2"/>
  <c r="AF26" i="2"/>
  <c r="AE26" i="2"/>
  <c r="AD26" i="2"/>
  <c r="AB26" i="2"/>
  <c r="AA26" i="2"/>
  <c r="Z26" i="2"/>
  <c r="Y26" i="2"/>
  <c r="W26" i="2"/>
  <c r="V26" i="2"/>
  <c r="U26" i="2"/>
  <c r="T26" i="2"/>
  <c r="R26" i="2"/>
  <c r="Q26" i="2"/>
  <c r="P26" i="2"/>
  <c r="O26" i="2"/>
  <c r="M26" i="2"/>
  <c r="L26" i="2"/>
  <c r="K26" i="2"/>
  <c r="J26" i="2"/>
  <c r="H26" i="2"/>
  <c r="G26" i="2"/>
  <c r="F26" i="2"/>
  <c r="E26" i="2"/>
  <c r="CX25" i="2"/>
  <c r="CW25" i="2"/>
  <c r="CV25" i="2"/>
  <c r="CU25" i="2"/>
  <c r="CT25" i="2"/>
  <c r="CS25" i="2"/>
  <c r="CR25" i="2"/>
  <c r="CQ25" i="2"/>
  <c r="CP25" i="2"/>
  <c r="CO25" i="2"/>
  <c r="CN25" i="2"/>
  <c r="CM25" i="2"/>
  <c r="CL25" i="2"/>
  <c r="CJ25" i="2"/>
  <c r="CI25" i="2"/>
  <c r="CH25" i="2"/>
  <c r="CG25" i="2"/>
  <c r="CE25" i="2"/>
  <c r="CD25" i="2"/>
  <c r="CC25" i="2"/>
  <c r="CB25" i="2"/>
  <c r="BZ25" i="2"/>
  <c r="BY25" i="2"/>
  <c r="BX25" i="2"/>
  <c r="BW25" i="2"/>
  <c r="BU25" i="2"/>
  <c r="BT25" i="2"/>
  <c r="BS25" i="2"/>
  <c r="BR25" i="2"/>
  <c r="BQ25" i="2"/>
  <c r="BP25" i="2"/>
  <c r="BO25" i="2"/>
  <c r="BN25" i="2"/>
  <c r="BM25" i="2"/>
  <c r="BK25" i="2"/>
  <c r="BJ25" i="2"/>
  <c r="BI25" i="2"/>
  <c r="BH25" i="2"/>
  <c r="BG25" i="2"/>
  <c r="BF25" i="2"/>
  <c r="BE25" i="2"/>
  <c r="BD25" i="2"/>
  <c r="BC25" i="2"/>
  <c r="BA25" i="2"/>
  <c r="AZ25" i="2"/>
  <c r="AY25" i="2"/>
  <c r="AX25" i="2"/>
  <c r="AW25" i="2"/>
  <c r="AV25" i="2"/>
  <c r="AU25" i="2"/>
  <c r="AT25" i="2"/>
  <c r="AS25" i="2"/>
  <c r="AQ25" i="2"/>
  <c r="AP25" i="2"/>
  <c r="AO25" i="2"/>
  <c r="AN25" i="2"/>
  <c r="AL25" i="2"/>
  <c r="AK25" i="2"/>
  <c r="AJ25" i="2"/>
  <c r="AI25" i="2"/>
  <c r="AG25" i="2"/>
  <c r="AF25" i="2"/>
  <c r="AE25" i="2"/>
  <c r="AD25" i="2"/>
  <c r="AB25" i="2"/>
  <c r="AA25" i="2"/>
  <c r="Z25" i="2"/>
  <c r="Y25" i="2"/>
  <c r="W25" i="2"/>
  <c r="V25" i="2"/>
  <c r="U25" i="2"/>
  <c r="T25" i="2"/>
  <c r="R25" i="2"/>
  <c r="Q25" i="2"/>
  <c r="P25" i="2"/>
  <c r="O25" i="2"/>
  <c r="M25" i="2"/>
  <c r="L25" i="2"/>
  <c r="K25" i="2"/>
  <c r="J25" i="2"/>
  <c r="H25" i="2"/>
  <c r="G25" i="2"/>
  <c r="F25" i="2"/>
  <c r="E25" i="2"/>
  <c r="CX24" i="2"/>
  <c r="CW24" i="2"/>
  <c r="CV24" i="2"/>
  <c r="CU24" i="2"/>
  <c r="CT24" i="2"/>
  <c r="CS24" i="2"/>
  <c r="CR24" i="2"/>
  <c r="CQ24" i="2"/>
  <c r="CP24" i="2"/>
  <c r="CO24" i="2"/>
  <c r="CN24" i="2"/>
  <c r="CM24" i="2"/>
  <c r="CL24" i="2"/>
  <c r="CJ24" i="2"/>
  <c r="CI24" i="2"/>
  <c r="CH24" i="2"/>
  <c r="CG24" i="2"/>
  <c r="CE24" i="2"/>
  <c r="CD24" i="2"/>
  <c r="CC24" i="2"/>
  <c r="CB24" i="2"/>
  <c r="BZ24" i="2"/>
  <c r="BY24" i="2"/>
  <c r="BX24" i="2"/>
  <c r="BW24" i="2"/>
  <c r="BU24" i="2"/>
  <c r="BT24" i="2"/>
  <c r="BS24" i="2"/>
  <c r="BR24" i="2"/>
  <c r="BQ24" i="2"/>
  <c r="BP24" i="2"/>
  <c r="BO24" i="2"/>
  <c r="BN24" i="2"/>
  <c r="BM24" i="2"/>
  <c r="BK24" i="2"/>
  <c r="BJ24" i="2"/>
  <c r="BI24" i="2"/>
  <c r="BH24" i="2"/>
  <c r="BG24" i="2"/>
  <c r="BF24" i="2"/>
  <c r="BE24" i="2"/>
  <c r="BD24" i="2"/>
  <c r="BC24" i="2"/>
  <c r="BA24" i="2"/>
  <c r="AZ24" i="2"/>
  <c r="AY24" i="2"/>
  <c r="AX24" i="2"/>
  <c r="AW24" i="2"/>
  <c r="AV24" i="2"/>
  <c r="AU24" i="2"/>
  <c r="AT24" i="2"/>
  <c r="AS24" i="2"/>
  <c r="AQ24" i="2"/>
  <c r="AP24" i="2"/>
  <c r="AO24" i="2"/>
  <c r="AN24" i="2"/>
  <c r="AL24" i="2"/>
  <c r="AK24" i="2"/>
  <c r="AJ24" i="2"/>
  <c r="AI24" i="2"/>
  <c r="AG24" i="2"/>
  <c r="AF24" i="2"/>
  <c r="AE24" i="2"/>
  <c r="AD24" i="2"/>
  <c r="AB24" i="2"/>
  <c r="AA24" i="2"/>
  <c r="Z24" i="2"/>
  <c r="Y24" i="2"/>
  <c r="W24" i="2"/>
  <c r="V24" i="2"/>
  <c r="U24" i="2"/>
  <c r="T24" i="2"/>
  <c r="R24" i="2"/>
  <c r="Q24" i="2"/>
  <c r="P24" i="2"/>
  <c r="O24" i="2"/>
  <c r="M24" i="2"/>
  <c r="L24" i="2"/>
  <c r="K24" i="2"/>
  <c r="J24" i="2"/>
  <c r="H24" i="2"/>
  <c r="G24" i="2"/>
  <c r="F24" i="2"/>
  <c r="E24" i="2"/>
  <c r="CX23" i="2"/>
  <c r="CW23" i="2"/>
  <c r="CV23" i="2"/>
  <c r="CU23" i="2"/>
  <c r="CT23" i="2"/>
  <c r="CS23" i="2"/>
  <c r="CR23" i="2"/>
  <c r="CQ23" i="2"/>
  <c r="CP23" i="2"/>
  <c r="CO23" i="2"/>
  <c r="CN23" i="2"/>
  <c r="CM23" i="2"/>
  <c r="CL23" i="2"/>
  <c r="CJ23" i="2"/>
  <c r="CI23" i="2"/>
  <c r="CH23" i="2"/>
  <c r="CG23" i="2"/>
  <c r="CE23" i="2"/>
  <c r="CD23" i="2"/>
  <c r="CC23" i="2"/>
  <c r="CB23" i="2"/>
  <c r="BZ23" i="2"/>
  <c r="BY23" i="2"/>
  <c r="BX23" i="2"/>
  <c r="BW23" i="2"/>
  <c r="BU23" i="2"/>
  <c r="BT23" i="2"/>
  <c r="BS23" i="2"/>
  <c r="BR23" i="2"/>
  <c r="BQ23" i="2"/>
  <c r="BP23" i="2"/>
  <c r="BO23" i="2"/>
  <c r="BN23" i="2"/>
  <c r="BM23" i="2"/>
  <c r="BK23" i="2"/>
  <c r="BJ23" i="2"/>
  <c r="BI23" i="2"/>
  <c r="BH23" i="2"/>
  <c r="BG23" i="2"/>
  <c r="BF23" i="2"/>
  <c r="BE23" i="2"/>
  <c r="BD23" i="2"/>
  <c r="BC23" i="2"/>
  <c r="BA23" i="2"/>
  <c r="AZ23" i="2"/>
  <c r="AY23" i="2"/>
  <c r="AX23" i="2"/>
  <c r="AW23" i="2"/>
  <c r="AV23" i="2"/>
  <c r="AU23" i="2"/>
  <c r="AT23" i="2"/>
  <c r="AS23" i="2"/>
  <c r="AQ23" i="2"/>
  <c r="AP23" i="2"/>
  <c r="AO23" i="2"/>
  <c r="AN23" i="2"/>
  <c r="AL23" i="2"/>
  <c r="AK23" i="2"/>
  <c r="AJ23" i="2"/>
  <c r="AI23" i="2"/>
  <c r="AG23" i="2"/>
  <c r="AF23" i="2"/>
  <c r="AE23" i="2"/>
  <c r="AD23" i="2"/>
  <c r="AB23" i="2"/>
  <c r="AA23" i="2"/>
  <c r="Z23" i="2"/>
  <c r="Y23" i="2"/>
  <c r="W23" i="2"/>
  <c r="V23" i="2"/>
  <c r="U23" i="2"/>
  <c r="T23" i="2"/>
  <c r="R23" i="2"/>
  <c r="Q23" i="2"/>
  <c r="P23" i="2"/>
  <c r="O23" i="2"/>
  <c r="M23" i="2"/>
  <c r="L23" i="2"/>
  <c r="K23" i="2"/>
  <c r="J23" i="2"/>
  <c r="H23" i="2"/>
  <c r="G23" i="2"/>
  <c r="F23" i="2"/>
  <c r="E23" i="2"/>
  <c r="CX22" i="2"/>
  <c r="CW22" i="2"/>
  <c r="CV22" i="2"/>
  <c r="CU22" i="2"/>
  <c r="CT22" i="2"/>
  <c r="CS22" i="2"/>
  <c r="CR22" i="2"/>
  <c r="CQ22" i="2"/>
  <c r="CP22" i="2"/>
  <c r="CO22" i="2"/>
  <c r="CN22" i="2"/>
  <c r="CM22" i="2"/>
  <c r="CL22" i="2"/>
  <c r="CJ22" i="2"/>
  <c r="CI22" i="2"/>
  <c r="CH22" i="2"/>
  <c r="CG22" i="2"/>
  <c r="CE22" i="2"/>
  <c r="CD22" i="2"/>
  <c r="CC22" i="2"/>
  <c r="CB22" i="2"/>
  <c r="BZ22" i="2"/>
  <c r="BY22" i="2"/>
  <c r="BX22" i="2"/>
  <c r="BW22" i="2"/>
  <c r="BU22" i="2"/>
  <c r="BT22" i="2"/>
  <c r="BS22" i="2"/>
  <c r="BR22" i="2"/>
  <c r="BQ22" i="2"/>
  <c r="BP22" i="2"/>
  <c r="BO22" i="2"/>
  <c r="BN22" i="2"/>
  <c r="BM22" i="2"/>
  <c r="BK22" i="2"/>
  <c r="BJ22" i="2"/>
  <c r="BI22" i="2"/>
  <c r="BH22" i="2"/>
  <c r="BG22" i="2"/>
  <c r="BF22" i="2"/>
  <c r="BE22" i="2"/>
  <c r="BD22" i="2"/>
  <c r="BC22" i="2"/>
  <c r="BA22" i="2"/>
  <c r="AZ22" i="2"/>
  <c r="AY22" i="2"/>
  <c r="AX22" i="2"/>
  <c r="AW22" i="2"/>
  <c r="AV22" i="2"/>
  <c r="AU22" i="2"/>
  <c r="AT22" i="2"/>
  <c r="AS22" i="2"/>
  <c r="AQ22" i="2"/>
  <c r="AP22" i="2"/>
  <c r="AO22" i="2"/>
  <c r="AN22" i="2"/>
  <c r="AL22" i="2"/>
  <c r="AK22" i="2"/>
  <c r="AJ22" i="2"/>
  <c r="AI22" i="2"/>
  <c r="AG22" i="2"/>
  <c r="AF22" i="2"/>
  <c r="AE22" i="2"/>
  <c r="AD22" i="2"/>
  <c r="AB22" i="2"/>
  <c r="AA22" i="2"/>
  <c r="Z22" i="2"/>
  <c r="Y22" i="2"/>
  <c r="W22" i="2"/>
  <c r="V22" i="2"/>
  <c r="U22" i="2"/>
  <c r="T22" i="2"/>
  <c r="R22" i="2"/>
  <c r="Q22" i="2"/>
  <c r="P22" i="2"/>
  <c r="O22" i="2"/>
  <c r="M22" i="2"/>
  <c r="L22" i="2"/>
  <c r="K22" i="2"/>
  <c r="J22" i="2"/>
  <c r="H22" i="2"/>
  <c r="G22" i="2"/>
  <c r="F22" i="2"/>
  <c r="E22" i="2"/>
  <c r="CX21" i="2"/>
  <c r="CW21" i="2"/>
  <c r="CV21" i="2"/>
  <c r="CU21" i="2"/>
  <c r="CT21" i="2"/>
  <c r="CS21" i="2"/>
  <c r="CR21" i="2"/>
  <c r="CQ21" i="2"/>
  <c r="CP21" i="2"/>
  <c r="CO21" i="2"/>
  <c r="CN21" i="2"/>
  <c r="CM21" i="2"/>
  <c r="CL21" i="2"/>
  <c r="CJ21" i="2"/>
  <c r="CI21" i="2"/>
  <c r="CH21" i="2"/>
  <c r="CG21" i="2"/>
  <c r="CE21" i="2"/>
  <c r="CD21" i="2"/>
  <c r="CC21" i="2"/>
  <c r="CB21" i="2"/>
  <c r="BZ21" i="2"/>
  <c r="BY21" i="2"/>
  <c r="BX21" i="2"/>
  <c r="BW21" i="2"/>
  <c r="BU21" i="2"/>
  <c r="BT21" i="2"/>
  <c r="BS21" i="2"/>
  <c r="BR21" i="2"/>
  <c r="BQ21" i="2"/>
  <c r="BP21" i="2"/>
  <c r="BO21" i="2"/>
  <c r="BN21" i="2"/>
  <c r="BM21" i="2"/>
  <c r="BK21" i="2"/>
  <c r="BJ21" i="2"/>
  <c r="BI21" i="2"/>
  <c r="BH21" i="2"/>
  <c r="BG21" i="2"/>
  <c r="BF21" i="2"/>
  <c r="BE21" i="2"/>
  <c r="BD21" i="2"/>
  <c r="BC21" i="2"/>
  <c r="BA21" i="2"/>
  <c r="AZ21" i="2"/>
  <c r="AY21" i="2"/>
  <c r="AX21" i="2"/>
  <c r="AW21" i="2"/>
  <c r="AV21" i="2"/>
  <c r="AU21" i="2"/>
  <c r="AT21" i="2"/>
  <c r="AS21" i="2"/>
  <c r="AQ21" i="2"/>
  <c r="AP21" i="2"/>
  <c r="AO21" i="2"/>
  <c r="AN21" i="2"/>
  <c r="AL21" i="2"/>
  <c r="AK21" i="2"/>
  <c r="AJ21" i="2"/>
  <c r="AI21" i="2"/>
  <c r="AG21" i="2"/>
  <c r="AF21" i="2"/>
  <c r="AE21" i="2"/>
  <c r="AD21" i="2"/>
  <c r="AB21" i="2"/>
  <c r="AA21" i="2"/>
  <c r="Z21" i="2"/>
  <c r="Y21" i="2"/>
  <c r="W21" i="2"/>
  <c r="V21" i="2"/>
  <c r="U21" i="2"/>
  <c r="T21" i="2"/>
  <c r="R21" i="2"/>
  <c r="Q21" i="2"/>
  <c r="P21" i="2"/>
  <c r="O21" i="2"/>
  <c r="M21" i="2"/>
  <c r="L21" i="2"/>
  <c r="K21" i="2"/>
  <c r="J21" i="2"/>
  <c r="H21" i="2"/>
  <c r="G21" i="2"/>
  <c r="F21" i="2"/>
  <c r="E21" i="2"/>
  <c r="CX20" i="2"/>
  <c r="CW20" i="2"/>
  <c r="CV20" i="2"/>
  <c r="CU20" i="2"/>
  <c r="CT20" i="2"/>
  <c r="CS20" i="2"/>
  <c r="CR20" i="2"/>
  <c r="CQ20" i="2"/>
  <c r="CP20" i="2"/>
  <c r="CO20" i="2"/>
  <c r="CN20" i="2"/>
  <c r="CM20" i="2"/>
  <c r="CL20" i="2"/>
  <c r="CJ20" i="2"/>
  <c r="CI20" i="2"/>
  <c r="CH20" i="2"/>
  <c r="CG20" i="2"/>
  <c r="CE20" i="2"/>
  <c r="CD20" i="2"/>
  <c r="CC20" i="2"/>
  <c r="CB20" i="2"/>
  <c r="BZ20" i="2"/>
  <c r="BY20" i="2"/>
  <c r="BX20" i="2"/>
  <c r="BW20" i="2"/>
  <c r="BU20" i="2"/>
  <c r="BT20" i="2"/>
  <c r="BS20" i="2"/>
  <c r="BR20" i="2"/>
  <c r="BQ20" i="2"/>
  <c r="BP20" i="2"/>
  <c r="BO20" i="2"/>
  <c r="BN20" i="2"/>
  <c r="BM20" i="2"/>
  <c r="BK20" i="2"/>
  <c r="BJ20" i="2"/>
  <c r="BI20" i="2"/>
  <c r="BH20" i="2"/>
  <c r="BG20" i="2"/>
  <c r="BF20" i="2"/>
  <c r="BE20" i="2"/>
  <c r="BD20" i="2"/>
  <c r="BC20" i="2"/>
  <c r="BA20" i="2"/>
  <c r="AZ20" i="2"/>
  <c r="AY20" i="2"/>
  <c r="AX20" i="2"/>
  <c r="AW20" i="2"/>
  <c r="AV20" i="2"/>
  <c r="AU20" i="2"/>
  <c r="AT20" i="2"/>
  <c r="AS20" i="2"/>
  <c r="AQ20" i="2"/>
  <c r="AP20" i="2"/>
  <c r="AO20" i="2"/>
  <c r="AN20" i="2"/>
  <c r="AL20" i="2"/>
  <c r="AK20" i="2"/>
  <c r="AJ20" i="2"/>
  <c r="AI20" i="2"/>
  <c r="AG20" i="2"/>
  <c r="AF20" i="2"/>
  <c r="AE20" i="2"/>
  <c r="AD20" i="2"/>
  <c r="AB20" i="2"/>
  <c r="AA20" i="2"/>
  <c r="Z20" i="2"/>
  <c r="Y20" i="2"/>
  <c r="W20" i="2"/>
  <c r="V20" i="2"/>
  <c r="U20" i="2"/>
  <c r="T20" i="2"/>
  <c r="R20" i="2"/>
  <c r="Q20" i="2"/>
  <c r="P20" i="2"/>
  <c r="O20" i="2"/>
  <c r="M20" i="2"/>
  <c r="L20" i="2"/>
  <c r="K20" i="2"/>
  <c r="J20" i="2"/>
  <c r="H20" i="2"/>
  <c r="G20" i="2"/>
  <c r="F20" i="2"/>
  <c r="E20" i="2"/>
  <c r="CX19" i="2"/>
  <c r="CW19" i="2"/>
  <c r="CV19" i="2"/>
  <c r="CU19" i="2"/>
  <c r="CT19" i="2"/>
  <c r="CS19" i="2"/>
  <c r="CR19" i="2"/>
  <c r="CQ19" i="2"/>
  <c r="CP19" i="2"/>
  <c r="CO19" i="2"/>
  <c r="CN19" i="2"/>
  <c r="CM19" i="2"/>
  <c r="CL19" i="2"/>
  <c r="CJ19" i="2"/>
  <c r="CI19" i="2"/>
  <c r="CH19" i="2"/>
  <c r="CG19" i="2"/>
  <c r="CE19" i="2"/>
  <c r="CD19" i="2"/>
  <c r="CC19" i="2"/>
  <c r="CB19" i="2"/>
  <c r="BZ19" i="2"/>
  <c r="BY19" i="2"/>
  <c r="BX19" i="2"/>
  <c r="BW19" i="2"/>
  <c r="BU19" i="2"/>
  <c r="BT19" i="2"/>
  <c r="BS19" i="2"/>
  <c r="BR19" i="2"/>
  <c r="BQ19" i="2"/>
  <c r="BP19" i="2"/>
  <c r="BO19" i="2"/>
  <c r="BN19" i="2"/>
  <c r="BM19" i="2"/>
  <c r="BK19" i="2"/>
  <c r="BJ19" i="2"/>
  <c r="BI19" i="2"/>
  <c r="BH19" i="2"/>
  <c r="BG19" i="2"/>
  <c r="BF19" i="2"/>
  <c r="BE19" i="2"/>
  <c r="BD19" i="2"/>
  <c r="BC19" i="2"/>
  <c r="BA19" i="2"/>
  <c r="AZ19" i="2"/>
  <c r="AY19" i="2"/>
  <c r="AX19" i="2"/>
  <c r="AW19" i="2"/>
  <c r="AV19" i="2"/>
  <c r="AU19" i="2"/>
  <c r="AT19" i="2"/>
  <c r="AS19" i="2"/>
  <c r="AQ19" i="2"/>
  <c r="AP19" i="2"/>
  <c r="AO19" i="2"/>
  <c r="AN19" i="2"/>
  <c r="AL19" i="2"/>
  <c r="AK19" i="2"/>
  <c r="AJ19" i="2"/>
  <c r="AI19" i="2"/>
  <c r="AG19" i="2"/>
  <c r="AF19" i="2"/>
  <c r="AE19" i="2"/>
  <c r="AD19" i="2"/>
  <c r="AB19" i="2"/>
  <c r="AA19" i="2"/>
  <c r="Z19" i="2"/>
  <c r="Y19" i="2"/>
  <c r="W19" i="2"/>
  <c r="V19" i="2"/>
  <c r="U19" i="2"/>
  <c r="T19" i="2"/>
  <c r="R19" i="2"/>
  <c r="Q19" i="2"/>
  <c r="P19" i="2"/>
  <c r="O19" i="2"/>
  <c r="M19" i="2"/>
  <c r="L19" i="2"/>
  <c r="K19" i="2"/>
  <c r="J19" i="2"/>
  <c r="H19" i="2"/>
  <c r="G19" i="2"/>
  <c r="F19" i="2"/>
  <c r="E19" i="2"/>
  <c r="CX18" i="2"/>
  <c r="CW18" i="2"/>
  <c r="CV18" i="2"/>
  <c r="CU18" i="2"/>
  <c r="CT18" i="2"/>
  <c r="CS18" i="2"/>
  <c r="CR18" i="2"/>
  <c r="CQ18" i="2"/>
  <c r="CP18" i="2"/>
  <c r="CO18" i="2"/>
  <c r="CN18" i="2"/>
  <c r="CM18" i="2"/>
  <c r="CL18" i="2"/>
  <c r="CJ18" i="2"/>
  <c r="CI18" i="2"/>
  <c r="CH18" i="2"/>
  <c r="CG18" i="2"/>
  <c r="CE18" i="2"/>
  <c r="CD18" i="2"/>
  <c r="CC18" i="2"/>
  <c r="CB18" i="2"/>
  <c r="BZ18" i="2"/>
  <c r="BY18" i="2"/>
  <c r="BX18" i="2"/>
  <c r="BW18" i="2"/>
  <c r="BU18" i="2"/>
  <c r="BT18" i="2"/>
  <c r="BS18" i="2"/>
  <c r="BR18" i="2"/>
  <c r="BQ18" i="2"/>
  <c r="BP18" i="2"/>
  <c r="BO18" i="2"/>
  <c r="BN18" i="2"/>
  <c r="BM18" i="2"/>
  <c r="BK18" i="2"/>
  <c r="BJ18" i="2"/>
  <c r="BI18" i="2"/>
  <c r="BH18" i="2"/>
  <c r="BG18" i="2"/>
  <c r="BF18" i="2"/>
  <c r="BE18" i="2"/>
  <c r="BD18" i="2"/>
  <c r="BC18" i="2"/>
  <c r="BA18" i="2"/>
  <c r="AZ18" i="2"/>
  <c r="AY18" i="2"/>
  <c r="AX18" i="2"/>
  <c r="AW18" i="2"/>
  <c r="AV18" i="2"/>
  <c r="AU18" i="2"/>
  <c r="AT18" i="2"/>
  <c r="AS18" i="2"/>
  <c r="AQ18" i="2"/>
  <c r="AP18" i="2"/>
  <c r="AO18" i="2"/>
  <c r="AN18" i="2"/>
  <c r="AL18" i="2"/>
  <c r="AK18" i="2"/>
  <c r="AJ18" i="2"/>
  <c r="AI18" i="2"/>
  <c r="AG18" i="2"/>
  <c r="AF18" i="2"/>
  <c r="AE18" i="2"/>
  <c r="AD18" i="2"/>
  <c r="AB18" i="2"/>
  <c r="AA18" i="2"/>
  <c r="Z18" i="2"/>
  <c r="Y18" i="2"/>
  <c r="W18" i="2"/>
  <c r="V18" i="2"/>
  <c r="U18" i="2"/>
  <c r="T18" i="2"/>
  <c r="R18" i="2"/>
  <c r="Q18" i="2"/>
  <c r="P18" i="2"/>
  <c r="O18" i="2"/>
  <c r="M18" i="2"/>
  <c r="L18" i="2"/>
  <c r="K18" i="2"/>
  <c r="J18" i="2"/>
  <c r="H18" i="2"/>
  <c r="G18" i="2"/>
  <c r="F18" i="2"/>
  <c r="E18" i="2"/>
  <c r="CX17" i="2"/>
  <c r="CW17" i="2"/>
  <c r="CV17" i="2"/>
  <c r="CU17" i="2"/>
  <c r="CT17" i="2"/>
  <c r="CS17" i="2"/>
  <c r="CR17" i="2"/>
  <c r="CQ17" i="2"/>
  <c r="CP17" i="2"/>
  <c r="CO17" i="2"/>
  <c r="CN17" i="2"/>
  <c r="CM17" i="2"/>
  <c r="CL17" i="2"/>
  <c r="CJ17" i="2"/>
  <c r="CI17" i="2"/>
  <c r="CH17" i="2"/>
  <c r="CG17" i="2"/>
  <c r="CE17" i="2"/>
  <c r="CD17" i="2"/>
  <c r="CC17" i="2"/>
  <c r="CB17" i="2"/>
  <c r="BZ17" i="2"/>
  <c r="BY17" i="2"/>
  <c r="BX17" i="2"/>
  <c r="BW17" i="2"/>
  <c r="BU17" i="2"/>
  <c r="BT17" i="2"/>
  <c r="BS17" i="2"/>
  <c r="BR17" i="2"/>
  <c r="BQ17" i="2"/>
  <c r="BP17" i="2"/>
  <c r="BO17" i="2"/>
  <c r="BN17" i="2"/>
  <c r="BM17" i="2"/>
  <c r="BK17" i="2"/>
  <c r="BJ17" i="2"/>
  <c r="BI17" i="2"/>
  <c r="BH17" i="2"/>
  <c r="BG17" i="2"/>
  <c r="BF17" i="2"/>
  <c r="BE17" i="2"/>
  <c r="BD17" i="2"/>
  <c r="BC17" i="2"/>
  <c r="BA17" i="2"/>
  <c r="AZ17" i="2"/>
  <c r="AY17" i="2"/>
  <c r="AX17" i="2"/>
  <c r="AW17" i="2"/>
  <c r="AV17" i="2"/>
  <c r="AU17" i="2"/>
  <c r="AT17" i="2"/>
  <c r="AS17" i="2"/>
  <c r="AQ17" i="2"/>
  <c r="AP17" i="2"/>
  <c r="AO17" i="2"/>
  <c r="AN17" i="2"/>
  <c r="AL17" i="2"/>
  <c r="AK17" i="2"/>
  <c r="AJ17" i="2"/>
  <c r="AI17" i="2"/>
  <c r="AG17" i="2"/>
  <c r="AF17" i="2"/>
  <c r="AE17" i="2"/>
  <c r="AD17" i="2"/>
  <c r="AB17" i="2"/>
  <c r="AA17" i="2"/>
  <c r="Z17" i="2"/>
  <c r="Y17" i="2"/>
  <c r="W17" i="2"/>
  <c r="V17" i="2"/>
  <c r="U17" i="2"/>
  <c r="T17" i="2"/>
  <c r="R17" i="2"/>
  <c r="Q17" i="2"/>
  <c r="P17" i="2"/>
  <c r="O17" i="2"/>
  <c r="M17" i="2"/>
  <c r="L17" i="2"/>
  <c r="K17" i="2"/>
  <c r="J17" i="2"/>
  <c r="H17" i="2"/>
  <c r="G17" i="2"/>
  <c r="F17" i="2"/>
  <c r="E17" i="2"/>
  <c r="CX16" i="2"/>
  <c r="CW16" i="2"/>
  <c r="CV16" i="2"/>
  <c r="CU16" i="2"/>
  <c r="CT16" i="2"/>
  <c r="CS16" i="2"/>
  <c r="CR16" i="2"/>
  <c r="CQ16" i="2"/>
  <c r="CP16" i="2"/>
  <c r="CO16" i="2"/>
  <c r="CN16" i="2"/>
  <c r="CM16" i="2"/>
  <c r="CL16" i="2"/>
  <c r="CJ16" i="2"/>
  <c r="CI16" i="2"/>
  <c r="CH16" i="2"/>
  <c r="CG16" i="2"/>
  <c r="CE16" i="2"/>
  <c r="CD16" i="2"/>
  <c r="CC16" i="2"/>
  <c r="CB16" i="2"/>
  <c r="BZ16" i="2"/>
  <c r="BY16" i="2"/>
  <c r="BX16" i="2"/>
  <c r="BW16" i="2"/>
  <c r="BU16" i="2"/>
  <c r="BT16" i="2"/>
  <c r="BS16" i="2"/>
  <c r="BR16" i="2"/>
  <c r="BQ16" i="2"/>
  <c r="BP16" i="2"/>
  <c r="BO16" i="2"/>
  <c r="BN16" i="2"/>
  <c r="BM16" i="2"/>
  <c r="BK16" i="2"/>
  <c r="BJ16" i="2"/>
  <c r="BI16" i="2"/>
  <c r="BH16" i="2"/>
  <c r="BG16" i="2"/>
  <c r="BF16" i="2"/>
  <c r="BE16" i="2"/>
  <c r="BD16" i="2"/>
  <c r="BC16" i="2"/>
  <c r="BA16" i="2"/>
  <c r="AZ16" i="2"/>
  <c r="AY16" i="2"/>
  <c r="AX16" i="2"/>
  <c r="AW16" i="2"/>
  <c r="AV16" i="2"/>
  <c r="AU16" i="2"/>
  <c r="AT16" i="2"/>
  <c r="AS16" i="2"/>
  <c r="AQ16" i="2"/>
  <c r="AP16" i="2"/>
  <c r="AO16" i="2"/>
  <c r="AN16" i="2"/>
  <c r="AL16" i="2"/>
  <c r="AK16" i="2"/>
  <c r="AJ16" i="2"/>
  <c r="AI16" i="2"/>
  <c r="AG16" i="2"/>
  <c r="AF16" i="2"/>
  <c r="AE16" i="2"/>
  <c r="AD16" i="2"/>
  <c r="AB16" i="2"/>
  <c r="AA16" i="2"/>
  <c r="Z16" i="2"/>
  <c r="Y16" i="2"/>
  <c r="W16" i="2"/>
  <c r="V16" i="2"/>
  <c r="U16" i="2"/>
  <c r="T16" i="2"/>
  <c r="R16" i="2"/>
  <c r="Q16" i="2"/>
  <c r="P16" i="2"/>
  <c r="O16" i="2"/>
  <c r="M16" i="2"/>
  <c r="L16" i="2"/>
  <c r="K16" i="2"/>
  <c r="J16" i="2"/>
  <c r="H16" i="2"/>
  <c r="G16" i="2"/>
  <c r="F16" i="2"/>
  <c r="E16" i="2"/>
  <c r="F58" i="1"/>
  <c r="C31" i="2" s="1"/>
  <c r="F57" i="1"/>
  <c r="C30" i="2" s="1"/>
  <c r="F56" i="1"/>
  <c r="C29" i="2" s="1"/>
  <c r="F55" i="1"/>
  <c r="C28" i="2" s="1"/>
  <c r="F54" i="1"/>
  <c r="C27" i="2" s="1"/>
  <c r="F53" i="1"/>
  <c r="C26" i="2" s="1"/>
  <c r="F52" i="1"/>
  <c r="C25" i="2" s="1"/>
  <c r="F51" i="1"/>
  <c r="C24" i="2" s="1"/>
  <c r="F50" i="1"/>
  <c r="C23" i="2" s="1"/>
  <c r="F49" i="1"/>
  <c r="C22" i="2" s="1"/>
  <c r="F48" i="1"/>
  <c r="C21" i="2" s="1"/>
  <c r="F47" i="1"/>
  <c r="C20" i="2" s="1"/>
  <c r="F46" i="1"/>
  <c r="C19" i="2" s="1"/>
  <c r="F45" i="1"/>
  <c r="C18" i="2" s="1"/>
  <c r="F44" i="1"/>
  <c r="C17" i="2" s="1"/>
  <c r="F43" i="1"/>
  <c r="C16" i="2" s="1"/>
  <c r="F35" i="1"/>
  <c r="C21" i="3" s="1"/>
  <c r="F34" i="1"/>
  <c r="C20" i="3" s="1"/>
  <c r="F33" i="1"/>
  <c r="C19" i="3" s="1"/>
  <c r="F32" i="1"/>
  <c r="C18" i="3" s="1"/>
  <c r="F31" i="1"/>
  <c r="C17" i="3" s="1"/>
  <c r="F30" i="1"/>
  <c r="C16" i="3" s="1"/>
  <c r="F29" i="1"/>
  <c r="C15" i="3" s="1"/>
  <c r="F28" i="1"/>
  <c r="C14" i="3" s="1"/>
  <c r="F27" i="1"/>
  <c r="C13" i="3" s="1"/>
  <c r="F26" i="1"/>
  <c r="C12" i="3" s="1"/>
  <c r="F25" i="1"/>
  <c r="C11" i="3" s="1"/>
  <c r="F24" i="1"/>
  <c r="C10" i="3" s="1"/>
  <c r="F23" i="1"/>
  <c r="C9" i="3" s="1"/>
  <c r="F22" i="1"/>
  <c r="C8" i="3" s="1"/>
  <c r="F21" i="1"/>
  <c r="C7" i="3" s="1"/>
  <c r="F20" i="1"/>
  <c r="C6" i="3" s="1"/>
  <c r="V7" i="2"/>
  <c r="U7" i="2"/>
  <c r="T7" i="2"/>
  <c r="S7" i="2"/>
  <c r="R7" i="2"/>
  <c r="Q7" i="2"/>
  <c r="P7" i="2"/>
  <c r="O7" i="2"/>
  <c r="N7" i="2"/>
  <c r="M7" i="2"/>
  <c r="L7" i="2"/>
  <c r="K7" i="2"/>
  <c r="J7" i="2"/>
  <c r="I7" i="2"/>
  <c r="H7" i="2"/>
  <c r="V6" i="2"/>
  <c r="U6" i="2"/>
  <c r="T6" i="2"/>
  <c r="S6" i="2"/>
  <c r="R6" i="2"/>
  <c r="Q6" i="2"/>
  <c r="P6" i="2"/>
  <c r="O6" i="2"/>
  <c r="N6" i="2"/>
  <c r="M6" i="2"/>
  <c r="L6" i="2"/>
  <c r="K6" i="2"/>
  <c r="J6" i="2"/>
  <c r="I6" i="2"/>
  <c r="H6" i="2"/>
  <c r="G7" i="2"/>
  <c r="G6" i="2"/>
  <c r="D6" i="2"/>
  <c r="S5" i="3"/>
  <c r="R5" i="3"/>
  <c r="Q5" i="3"/>
  <c r="P5" i="3"/>
  <c r="O5" i="3"/>
  <c r="N5" i="3"/>
  <c r="M5" i="3"/>
  <c r="L5" i="3"/>
  <c r="K5" i="3"/>
  <c r="J5" i="3"/>
  <c r="I5" i="3"/>
  <c r="H5" i="3"/>
  <c r="G5" i="3"/>
  <c r="F5" i="3"/>
  <c r="E5" i="3"/>
  <c r="D5" i="3"/>
  <c r="D3" i="3"/>
  <c r="H5" i="1" s="1"/>
  <c r="P29" i="3" l="1"/>
  <c r="E29" i="3"/>
  <c r="I29" i="3"/>
  <c r="M29" i="3"/>
  <c r="Q29" i="3"/>
  <c r="L29" i="3"/>
  <c r="Q6" i="3"/>
  <c r="T20" i="1" s="1"/>
  <c r="E6" i="3"/>
  <c r="H20" i="1" s="1"/>
  <c r="P6" i="3"/>
  <c r="L6" i="3"/>
  <c r="H6" i="3"/>
  <c r="K20" i="1" s="1"/>
  <c r="D6" i="3"/>
  <c r="G20" i="1" s="1"/>
  <c r="O6" i="3"/>
  <c r="K6" i="3"/>
  <c r="G6" i="3"/>
  <c r="J20" i="1" s="1"/>
  <c r="S6" i="3"/>
  <c r="V20" i="1" s="1"/>
  <c r="R6" i="3"/>
  <c r="N6" i="3"/>
  <c r="J6" i="3"/>
  <c r="M20" i="1" s="1"/>
  <c r="F6" i="3"/>
  <c r="I20" i="1" s="1"/>
  <c r="M6" i="3"/>
  <c r="I6" i="3"/>
  <c r="F29" i="3"/>
  <c r="J29" i="3"/>
  <c r="N29" i="3"/>
  <c r="R29" i="3"/>
  <c r="D29" i="3"/>
  <c r="D30" i="3" s="1"/>
  <c r="D31" i="3" s="1"/>
  <c r="G96" i="1" s="1"/>
  <c r="H29" i="3"/>
  <c r="G29" i="3"/>
  <c r="K29" i="3"/>
  <c r="O29" i="3"/>
  <c r="S29" i="3"/>
  <c r="S21" i="3"/>
  <c r="O21" i="3"/>
  <c r="K21" i="3"/>
  <c r="N35" i="1" s="1"/>
  <c r="G21" i="3"/>
  <c r="J35" i="1" s="1"/>
  <c r="R20" i="3"/>
  <c r="N20" i="3"/>
  <c r="J20" i="3"/>
  <c r="M34" i="1" s="1"/>
  <c r="F20" i="3"/>
  <c r="I34" i="1" s="1"/>
  <c r="Q19" i="3"/>
  <c r="M19" i="3"/>
  <c r="I19" i="3"/>
  <c r="E19" i="3"/>
  <c r="H33" i="1" s="1"/>
  <c r="P18" i="3"/>
  <c r="L18" i="3"/>
  <c r="H18" i="3"/>
  <c r="K32" i="1" s="1"/>
  <c r="S17" i="3"/>
  <c r="V31" i="1" s="1"/>
  <c r="O17" i="3"/>
  <c r="K17" i="3"/>
  <c r="G17" i="3"/>
  <c r="J31" i="1" s="1"/>
  <c r="R16" i="3"/>
  <c r="U30" i="1" s="1"/>
  <c r="N16" i="3"/>
  <c r="J16" i="3"/>
  <c r="F16" i="3"/>
  <c r="I30" i="1" s="1"/>
  <c r="Q15" i="3"/>
  <c r="T29" i="1" s="1"/>
  <c r="M15" i="3"/>
  <c r="I15" i="3"/>
  <c r="E15" i="3"/>
  <c r="H29" i="1" s="1"/>
  <c r="P14" i="3"/>
  <c r="S28" i="1" s="1"/>
  <c r="L14" i="3"/>
  <c r="H14" i="3"/>
  <c r="S13" i="3"/>
  <c r="V27" i="1" s="1"/>
  <c r="O13" i="3"/>
  <c r="R27" i="1" s="1"/>
  <c r="K13" i="3"/>
  <c r="G13" i="3"/>
  <c r="R12" i="3"/>
  <c r="U26" i="1" s="1"/>
  <c r="N12" i="3"/>
  <c r="Q26" i="1" s="1"/>
  <c r="J12" i="3"/>
  <c r="F12" i="3"/>
  <c r="Q11" i="3"/>
  <c r="T25" i="1" s="1"/>
  <c r="M11" i="3"/>
  <c r="P25" i="1" s="1"/>
  <c r="I11" i="3"/>
  <c r="E11" i="3"/>
  <c r="P10" i="3"/>
  <c r="S24" i="1" s="1"/>
  <c r="L10" i="3"/>
  <c r="O24" i="1" s="1"/>
  <c r="H10" i="3"/>
  <c r="S9" i="3"/>
  <c r="O9" i="3"/>
  <c r="R23" i="1" s="1"/>
  <c r="K9" i="3"/>
  <c r="N23" i="1" s="1"/>
  <c r="G9" i="3"/>
  <c r="R8" i="3"/>
  <c r="N8" i="3"/>
  <c r="Q22" i="1" s="1"/>
  <c r="J8" i="3"/>
  <c r="M22" i="1" s="1"/>
  <c r="Q7" i="3"/>
  <c r="I7" i="3"/>
  <c r="D18" i="3"/>
  <c r="G32" i="1" s="1"/>
  <c r="R21" i="3"/>
  <c r="U35" i="1" s="1"/>
  <c r="N21" i="3"/>
  <c r="J21" i="3"/>
  <c r="F21" i="3"/>
  <c r="I35" i="1" s="1"/>
  <c r="Q20" i="3"/>
  <c r="T34" i="1" s="1"/>
  <c r="M20" i="3"/>
  <c r="I20" i="3"/>
  <c r="E20" i="3"/>
  <c r="H34" i="1" s="1"/>
  <c r="P19" i="3"/>
  <c r="S33" i="1" s="1"/>
  <c r="L19" i="3"/>
  <c r="H19" i="3"/>
  <c r="S18" i="3"/>
  <c r="V32" i="1" s="1"/>
  <c r="O18" i="3"/>
  <c r="R32" i="1" s="1"/>
  <c r="K18" i="3"/>
  <c r="G18" i="3"/>
  <c r="R17" i="3"/>
  <c r="U31" i="1" s="1"/>
  <c r="N17" i="3"/>
  <c r="Q31" i="1" s="1"/>
  <c r="J17" i="3"/>
  <c r="F17" i="3"/>
  <c r="Q16" i="3"/>
  <c r="T30" i="1" s="1"/>
  <c r="M16" i="3"/>
  <c r="P30" i="1" s="1"/>
  <c r="I16" i="3"/>
  <c r="E16" i="3"/>
  <c r="P15" i="3"/>
  <c r="S29" i="1" s="1"/>
  <c r="L15" i="3"/>
  <c r="O29" i="1" s="1"/>
  <c r="H15" i="3"/>
  <c r="S14" i="3"/>
  <c r="O14" i="3"/>
  <c r="R28" i="1" s="1"/>
  <c r="K14" i="3"/>
  <c r="N28" i="1" s="1"/>
  <c r="G14" i="3"/>
  <c r="R13" i="3"/>
  <c r="N13" i="3"/>
  <c r="Q27" i="1" s="1"/>
  <c r="J13" i="3"/>
  <c r="M27" i="1" s="1"/>
  <c r="F13" i="3"/>
  <c r="Q12" i="3"/>
  <c r="M12" i="3"/>
  <c r="P26" i="1" s="1"/>
  <c r="I12" i="3"/>
  <c r="L26" i="1" s="1"/>
  <c r="E12" i="3"/>
  <c r="P11" i="3"/>
  <c r="L11" i="3"/>
  <c r="O25" i="1" s="1"/>
  <c r="H11" i="3"/>
  <c r="K25" i="1" s="1"/>
  <c r="S10" i="3"/>
  <c r="O10" i="3"/>
  <c r="K10" i="3"/>
  <c r="N24" i="1" s="1"/>
  <c r="G10" i="3"/>
  <c r="J24" i="1" s="1"/>
  <c r="R9" i="3"/>
  <c r="N9" i="3"/>
  <c r="J9" i="3"/>
  <c r="M23" i="1" s="1"/>
  <c r="F9" i="3"/>
  <c r="I23" i="1" s="1"/>
  <c r="Q8" i="3"/>
  <c r="M8" i="3"/>
  <c r="I8" i="3"/>
  <c r="L22" i="1" s="1"/>
  <c r="E8" i="3"/>
  <c r="H22" i="1" s="1"/>
  <c r="P7" i="3"/>
  <c r="L7" i="3"/>
  <c r="H7" i="3"/>
  <c r="K21" i="1" s="1"/>
  <c r="D21" i="3"/>
  <c r="G35" i="1" s="1"/>
  <c r="D17" i="3"/>
  <c r="D13" i="3"/>
  <c r="D9" i="3"/>
  <c r="G23" i="1" s="1"/>
  <c r="S7" i="3"/>
  <c r="V21" i="1" s="1"/>
  <c r="K7" i="3"/>
  <c r="D16" i="3"/>
  <c r="D12" i="3"/>
  <c r="G26" i="1" s="1"/>
  <c r="Q21" i="3"/>
  <c r="T35" i="1" s="1"/>
  <c r="M21" i="3"/>
  <c r="I21" i="3"/>
  <c r="E21" i="3"/>
  <c r="H35" i="1" s="1"/>
  <c r="P20" i="3"/>
  <c r="S34" i="1" s="1"/>
  <c r="L20" i="3"/>
  <c r="H20" i="3"/>
  <c r="S19" i="3"/>
  <c r="V33" i="1" s="1"/>
  <c r="O19" i="3"/>
  <c r="R33" i="1" s="1"/>
  <c r="K19" i="3"/>
  <c r="G19" i="3"/>
  <c r="R18" i="3"/>
  <c r="U32" i="1" s="1"/>
  <c r="N18" i="3"/>
  <c r="Q32" i="1" s="1"/>
  <c r="J18" i="3"/>
  <c r="F18" i="3"/>
  <c r="Q17" i="3"/>
  <c r="T31" i="1" s="1"/>
  <c r="M17" i="3"/>
  <c r="P31" i="1" s="1"/>
  <c r="I17" i="3"/>
  <c r="E17" i="3"/>
  <c r="P16" i="3"/>
  <c r="S30" i="1" s="1"/>
  <c r="L16" i="3"/>
  <c r="O30" i="1" s="1"/>
  <c r="H16" i="3"/>
  <c r="S15" i="3"/>
  <c r="O15" i="3"/>
  <c r="R29" i="1" s="1"/>
  <c r="K15" i="3"/>
  <c r="N29" i="1" s="1"/>
  <c r="G15" i="3"/>
  <c r="R14" i="3"/>
  <c r="N14" i="3"/>
  <c r="Q28" i="1" s="1"/>
  <c r="J14" i="3"/>
  <c r="M28" i="1" s="1"/>
  <c r="F14" i="3"/>
  <c r="Q13" i="3"/>
  <c r="M13" i="3"/>
  <c r="P27" i="1" s="1"/>
  <c r="I13" i="3"/>
  <c r="L27" i="1" s="1"/>
  <c r="E13" i="3"/>
  <c r="P12" i="3"/>
  <c r="L12" i="3"/>
  <c r="O26" i="1" s="1"/>
  <c r="H12" i="3"/>
  <c r="K26" i="1" s="1"/>
  <c r="S11" i="3"/>
  <c r="O11" i="3"/>
  <c r="K11" i="3"/>
  <c r="N25" i="1" s="1"/>
  <c r="G11" i="3"/>
  <c r="J25" i="1" s="1"/>
  <c r="R10" i="3"/>
  <c r="N10" i="3"/>
  <c r="J10" i="3"/>
  <c r="M24" i="1" s="1"/>
  <c r="F10" i="3"/>
  <c r="I24" i="1" s="1"/>
  <c r="Q9" i="3"/>
  <c r="T23" i="1" s="1"/>
  <c r="M9" i="3"/>
  <c r="P23" i="1" s="1"/>
  <c r="I9" i="3"/>
  <c r="L23" i="1" s="1"/>
  <c r="E9" i="3"/>
  <c r="H23" i="1" s="1"/>
  <c r="P8" i="3"/>
  <c r="L8" i="3"/>
  <c r="O22" i="1" s="1"/>
  <c r="H8" i="3"/>
  <c r="K22" i="1" s="1"/>
  <c r="O7" i="3"/>
  <c r="R21" i="1" s="1"/>
  <c r="G7" i="3"/>
  <c r="J21" i="1" s="1"/>
  <c r="D20" i="3"/>
  <c r="G34" i="1" s="1"/>
  <c r="D8" i="3"/>
  <c r="G22" i="1" s="1"/>
  <c r="P21" i="3"/>
  <c r="S35" i="1" s="1"/>
  <c r="L21" i="3"/>
  <c r="O35" i="1" s="1"/>
  <c r="H21" i="3"/>
  <c r="K35" i="1" s="1"/>
  <c r="S20" i="3"/>
  <c r="V34" i="1" s="1"/>
  <c r="O20" i="3"/>
  <c r="R34" i="1" s="1"/>
  <c r="K20" i="3"/>
  <c r="N34" i="1" s="1"/>
  <c r="G20" i="3"/>
  <c r="J34" i="1" s="1"/>
  <c r="R19" i="3"/>
  <c r="U33" i="1" s="1"/>
  <c r="N19" i="3"/>
  <c r="Q33" i="1" s="1"/>
  <c r="J19" i="3"/>
  <c r="M33" i="1" s="1"/>
  <c r="F19" i="3"/>
  <c r="I33" i="1" s="1"/>
  <c r="Q18" i="3"/>
  <c r="T32" i="1" s="1"/>
  <c r="M18" i="3"/>
  <c r="P32" i="1" s="1"/>
  <c r="I18" i="3"/>
  <c r="L32" i="1" s="1"/>
  <c r="E18" i="3"/>
  <c r="H32" i="1" s="1"/>
  <c r="P17" i="3"/>
  <c r="S31" i="1" s="1"/>
  <c r="L17" i="3"/>
  <c r="O31" i="1" s="1"/>
  <c r="H17" i="3"/>
  <c r="K31" i="1" s="1"/>
  <c r="S16" i="3"/>
  <c r="V30" i="1" s="1"/>
  <c r="O16" i="3"/>
  <c r="R30" i="1" s="1"/>
  <c r="K16" i="3"/>
  <c r="N30" i="1" s="1"/>
  <c r="G16" i="3"/>
  <c r="J30" i="1" s="1"/>
  <c r="R15" i="3"/>
  <c r="U29" i="1" s="1"/>
  <c r="N15" i="3"/>
  <c r="Q29" i="1" s="1"/>
  <c r="J15" i="3"/>
  <c r="M29" i="1" s="1"/>
  <c r="F15" i="3"/>
  <c r="I29" i="1" s="1"/>
  <c r="Q14" i="3"/>
  <c r="T28" i="1" s="1"/>
  <c r="M14" i="3"/>
  <c r="P28" i="1" s="1"/>
  <c r="I14" i="3"/>
  <c r="L28" i="1" s="1"/>
  <c r="E14" i="3"/>
  <c r="H28" i="1" s="1"/>
  <c r="P13" i="3"/>
  <c r="S27" i="1" s="1"/>
  <c r="L13" i="3"/>
  <c r="O27" i="1" s="1"/>
  <c r="H13" i="3"/>
  <c r="K27" i="1" s="1"/>
  <c r="S12" i="3"/>
  <c r="V26" i="1" s="1"/>
  <c r="O12" i="3"/>
  <c r="R26" i="1" s="1"/>
  <c r="K12" i="3"/>
  <c r="N26" i="1" s="1"/>
  <c r="G12" i="3"/>
  <c r="J26" i="1" s="1"/>
  <c r="R11" i="3"/>
  <c r="U25" i="1" s="1"/>
  <c r="N11" i="3"/>
  <c r="Q25" i="1" s="1"/>
  <c r="J11" i="3"/>
  <c r="M25" i="1" s="1"/>
  <c r="F11" i="3"/>
  <c r="I25" i="1" s="1"/>
  <c r="Q10" i="3"/>
  <c r="T24" i="1" s="1"/>
  <c r="M10" i="3"/>
  <c r="P24" i="1" s="1"/>
  <c r="I10" i="3"/>
  <c r="L24" i="1" s="1"/>
  <c r="E10" i="3"/>
  <c r="H24" i="1" s="1"/>
  <c r="P9" i="3"/>
  <c r="S23" i="1" s="1"/>
  <c r="L9" i="3"/>
  <c r="O23" i="1" s="1"/>
  <c r="H9" i="3"/>
  <c r="K23" i="1" s="1"/>
  <c r="S8" i="3"/>
  <c r="V22" i="1" s="1"/>
  <c r="O8" i="3"/>
  <c r="R22" i="1" s="1"/>
  <c r="K8" i="3"/>
  <c r="N22" i="1" s="1"/>
  <c r="G8" i="3"/>
  <c r="J22" i="1" s="1"/>
  <c r="R7" i="3"/>
  <c r="U21" i="1" s="1"/>
  <c r="N7" i="3"/>
  <c r="Q21" i="1" s="1"/>
  <c r="J7" i="3"/>
  <c r="M21" i="1" s="1"/>
  <c r="F7" i="3"/>
  <c r="I21" i="1" s="1"/>
  <c r="D19" i="3"/>
  <c r="G33" i="1" s="1"/>
  <c r="D15" i="3"/>
  <c r="G29" i="1" s="1"/>
  <c r="D11" i="3"/>
  <c r="G25" i="1" s="1"/>
  <c r="D7" i="3"/>
  <c r="G21" i="1" s="1"/>
  <c r="F8" i="3"/>
  <c r="I22" i="1" s="1"/>
  <c r="M7" i="3"/>
  <c r="P21" i="1" s="1"/>
  <c r="E7" i="3"/>
  <c r="H21" i="1" s="1"/>
  <c r="D14" i="3"/>
  <c r="G28" i="1" s="1"/>
  <c r="D10" i="3"/>
  <c r="G24" i="1" s="1"/>
  <c r="C36" i="2"/>
  <c r="C40" i="2"/>
  <c r="C44" i="2"/>
  <c r="C48" i="2"/>
  <c r="C37" i="2"/>
  <c r="C41" i="2"/>
  <c r="C45" i="2"/>
  <c r="C49" i="2"/>
  <c r="C38" i="2"/>
  <c r="C42" i="2"/>
  <c r="C46" i="2"/>
  <c r="C50" i="2"/>
  <c r="C39" i="2"/>
  <c r="C43" i="2"/>
  <c r="C47" i="2"/>
  <c r="C51" i="2"/>
  <c r="O20" i="1"/>
  <c r="S20" i="1"/>
  <c r="L20" i="1"/>
  <c r="P20" i="1"/>
  <c r="Q20" i="1"/>
  <c r="U20" i="1"/>
  <c r="N20" i="1"/>
  <c r="R20" i="1"/>
  <c r="L21" i="1"/>
  <c r="V35" i="1"/>
  <c r="R35" i="1"/>
  <c r="U34" i="1"/>
  <c r="Q34" i="1"/>
  <c r="T33" i="1"/>
  <c r="P33" i="1"/>
  <c r="L33" i="1"/>
  <c r="S32" i="1"/>
  <c r="O32" i="1"/>
  <c r="R31" i="1"/>
  <c r="N31" i="1"/>
  <c r="Q30" i="1"/>
  <c r="M30" i="1"/>
  <c r="P29" i="1"/>
  <c r="L29" i="1"/>
  <c r="O28" i="1"/>
  <c r="K28" i="1"/>
  <c r="N27" i="1"/>
  <c r="J27" i="1"/>
  <c r="M26" i="1"/>
  <c r="I26" i="1"/>
  <c r="Q35" i="1"/>
  <c r="M35" i="1"/>
  <c r="P34" i="1"/>
  <c r="L34" i="1"/>
  <c r="O33" i="1"/>
  <c r="K33" i="1"/>
  <c r="N32" i="1"/>
  <c r="J32" i="1"/>
  <c r="M31" i="1"/>
  <c r="I31" i="1"/>
  <c r="L30" i="1"/>
  <c r="H30" i="1"/>
  <c r="K29" i="1"/>
  <c r="V28" i="1"/>
  <c r="J28" i="1"/>
  <c r="U27" i="1"/>
  <c r="I27" i="1"/>
  <c r="T26" i="1"/>
  <c r="H26" i="1"/>
  <c r="S25" i="1"/>
  <c r="V24" i="1"/>
  <c r="R24" i="1"/>
  <c r="U23" i="1"/>
  <c r="Q23" i="1"/>
  <c r="T22" i="1"/>
  <c r="P22" i="1"/>
  <c r="S21" i="1"/>
  <c r="O21" i="1"/>
  <c r="G30" i="1"/>
  <c r="Q24" i="1"/>
  <c r="S22" i="1"/>
  <c r="G27" i="1"/>
  <c r="H25" i="1"/>
  <c r="K24" i="1"/>
  <c r="P35" i="1"/>
  <c r="L35" i="1"/>
  <c r="O34" i="1"/>
  <c r="K34" i="1"/>
  <c r="N33" i="1"/>
  <c r="J33" i="1"/>
  <c r="M32" i="1"/>
  <c r="I32" i="1"/>
  <c r="L31" i="1"/>
  <c r="H31" i="1"/>
  <c r="K30" i="1"/>
  <c r="V29" i="1"/>
  <c r="J29" i="1"/>
  <c r="U28" i="1"/>
  <c r="I28" i="1"/>
  <c r="T27" i="1"/>
  <c r="H27" i="1"/>
  <c r="S26" i="1"/>
  <c r="V25" i="1"/>
  <c r="R25" i="1"/>
  <c r="U24" i="1"/>
  <c r="N21" i="1"/>
  <c r="L25" i="1"/>
  <c r="V23" i="1"/>
  <c r="J23" i="1"/>
  <c r="G31" i="1"/>
  <c r="T21" i="1"/>
  <c r="U22" i="1"/>
  <c r="S30" i="3" l="1"/>
  <c r="S31" i="3" s="1"/>
  <c r="V96" i="1" s="1"/>
  <c r="V99" i="1" s="1"/>
  <c r="R30" i="3"/>
  <c r="R31" i="3" s="1"/>
  <c r="U96" i="1" s="1"/>
  <c r="U99" i="1" s="1"/>
  <c r="Q30" i="3"/>
  <c r="Q31" i="3" s="1"/>
  <c r="T96" i="1" s="1"/>
  <c r="T99" i="1" s="1"/>
  <c r="P30" i="3"/>
  <c r="P31" i="3" s="1"/>
  <c r="S96" i="1" s="1"/>
  <c r="S99" i="1" s="1"/>
  <c r="O30" i="3"/>
  <c r="O31" i="3" s="1"/>
  <c r="R96" i="1" s="1"/>
  <c r="R99" i="1" s="1"/>
  <c r="N30" i="3"/>
  <c r="N31" i="3" s="1"/>
  <c r="Q96" i="1" s="1"/>
  <c r="Q99" i="1" s="1"/>
  <c r="M30" i="3"/>
  <c r="M31" i="3" s="1"/>
  <c r="P96" i="1" s="1"/>
  <c r="P99" i="1" s="1"/>
  <c r="L30" i="3"/>
  <c r="L31" i="3" s="1"/>
  <c r="O96" i="1" s="1"/>
  <c r="O99" i="1" s="1"/>
  <c r="K30" i="3"/>
  <c r="K31" i="3" s="1"/>
  <c r="N96" i="1" s="1"/>
  <c r="N99" i="1" s="1"/>
  <c r="J30" i="3"/>
  <c r="J31" i="3" s="1"/>
  <c r="M96" i="1" s="1"/>
  <c r="M99" i="1" s="1"/>
  <c r="I30" i="3"/>
  <c r="I31" i="3" s="1"/>
  <c r="L96" i="1" s="1"/>
  <c r="L99" i="1" s="1"/>
  <c r="H30" i="3"/>
  <c r="H31" i="3" s="1"/>
  <c r="K96" i="1" s="1"/>
  <c r="K99" i="1" s="1"/>
  <c r="G30" i="3"/>
  <c r="G31" i="3" s="1"/>
  <c r="J96" i="1" s="1"/>
  <c r="J99" i="1" s="1"/>
  <c r="F30" i="3"/>
  <c r="F31" i="3" s="1"/>
  <c r="I96" i="1" s="1"/>
  <c r="I99" i="1" s="1"/>
  <c r="E30" i="3"/>
  <c r="E31" i="3" s="1"/>
  <c r="H96" i="1" s="1"/>
  <c r="H99" i="1" s="1"/>
  <c r="V37" i="1"/>
  <c r="N37" i="1"/>
  <c r="Q37" i="1"/>
  <c r="P37" i="1"/>
  <c r="O37" i="1"/>
  <c r="J37" i="1"/>
  <c r="M37" i="1"/>
  <c r="L37" i="1"/>
  <c r="K37" i="1"/>
  <c r="I37" i="1"/>
  <c r="H37" i="1"/>
  <c r="G37" i="1"/>
  <c r="R37" i="1"/>
  <c r="U37" i="1"/>
  <c r="T37" i="1"/>
  <c r="S37" i="1"/>
  <c r="D7" i="2"/>
  <c r="K26" i="3"/>
  <c r="R26" i="3"/>
  <c r="K25" i="3"/>
  <c r="N25" i="3"/>
  <c r="M25" i="3"/>
  <c r="L25" i="3"/>
  <c r="Q26" i="3"/>
  <c r="G26" i="3"/>
  <c r="D26" i="3"/>
  <c r="H26" i="3"/>
  <c r="E26" i="3"/>
  <c r="M26" i="3"/>
  <c r="G25" i="3"/>
  <c r="J25" i="3"/>
  <c r="I25" i="3"/>
  <c r="H25" i="3"/>
  <c r="I26" i="3"/>
  <c r="F25" i="3"/>
  <c r="E25" i="3"/>
  <c r="D25" i="3"/>
  <c r="O26" i="3"/>
  <c r="L26" i="3"/>
  <c r="F82" i="1" s="1"/>
  <c r="F26" i="3"/>
  <c r="N26" i="3"/>
  <c r="J26" i="3"/>
  <c r="S26" i="3"/>
  <c r="P26" i="3"/>
  <c r="O25" i="3"/>
  <c r="R25" i="3"/>
  <c r="Q25" i="3"/>
  <c r="P25" i="3"/>
  <c r="S25" i="3"/>
  <c r="G99" i="1" l="1"/>
  <c r="F83" i="1"/>
  <c r="F87" i="1"/>
  <c r="F80" i="1"/>
  <c r="F84" i="1"/>
  <c r="F88" i="1"/>
  <c r="I49" i="1"/>
  <c r="F89" i="1"/>
  <c r="M55" i="1"/>
  <c r="N50" i="1"/>
  <c r="G53" i="1"/>
  <c r="J58" i="1"/>
  <c r="J53" i="1"/>
  <c r="J56" i="1"/>
  <c r="J52" i="1"/>
  <c r="J46" i="1"/>
  <c r="J43" i="1"/>
  <c r="J57" i="1"/>
  <c r="J49" i="1"/>
  <c r="J48" i="1"/>
  <c r="J45" i="1"/>
  <c r="J47" i="1"/>
  <c r="J50" i="1"/>
  <c r="J55" i="1"/>
  <c r="J54" i="1"/>
  <c r="J51" i="1"/>
  <c r="J44" i="1"/>
  <c r="K52" i="1"/>
  <c r="K46" i="1"/>
  <c r="K51" i="1"/>
  <c r="K53" i="1"/>
  <c r="K57" i="1"/>
  <c r="K48" i="1"/>
  <c r="K45" i="1"/>
  <c r="K58" i="1"/>
  <c r="K50" i="1"/>
  <c r="K54" i="1"/>
  <c r="K44" i="1"/>
  <c r="O58" i="1"/>
  <c r="P52" i="1"/>
  <c r="P46" i="1"/>
  <c r="K43" i="1" l="1"/>
  <c r="K47" i="1"/>
  <c r="K55" i="1"/>
  <c r="K49" i="1"/>
  <c r="G56" i="1"/>
  <c r="G52" i="1"/>
  <c r="F79" i="1"/>
  <c r="I57" i="1"/>
  <c r="F81" i="1"/>
  <c r="O50" i="1"/>
  <c r="I52" i="1"/>
  <c r="I58" i="1"/>
  <c r="O48" i="1"/>
  <c r="O52" i="1"/>
  <c r="H54" i="1"/>
  <c r="I56" i="1"/>
  <c r="H55" i="1"/>
  <c r="O56" i="1"/>
  <c r="I53" i="1"/>
  <c r="H45" i="1"/>
  <c r="O53" i="1"/>
  <c r="O44" i="1"/>
  <c r="H51" i="1"/>
  <c r="H49" i="1"/>
  <c r="I46" i="1"/>
  <c r="H48" i="1"/>
  <c r="O55" i="1"/>
  <c r="O57" i="1"/>
  <c r="O47" i="1"/>
  <c r="H53" i="1"/>
  <c r="H43" i="1"/>
  <c r="H50" i="1"/>
  <c r="I54" i="1"/>
  <c r="L47" i="1"/>
  <c r="H52" i="1"/>
  <c r="H47" i="1"/>
  <c r="H56" i="1"/>
  <c r="O54" i="1"/>
  <c r="O46" i="1"/>
  <c r="O51" i="1"/>
  <c r="L50" i="1"/>
  <c r="L43" i="1"/>
  <c r="L57" i="1"/>
  <c r="H44" i="1"/>
  <c r="H46" i="1"/>
  <c r="H58" i="1"/>
  <c r="H57" i="1"/>
  <c r="O49" i="1"/>
  <c r="O43" i="1"/>
  <c r="O45" i="1"/>
  <c r="L51" i="1"/>
  <c r="L53" i="1"/>
  <c r="L46" i="1"/>
  <c r="L55" i="1"/>
  <c r="L48" i="1"/>
  <c r="L52" i="1"/>
  <c r="K56" i="1"/>
  <c r="L45" i="1"/>
  <c r="L44" i="1"/>
  <c r="L54" i="1"/>
  <c r="L56" i="1"/>
  <c r="L49" i="1"/>
  <c r="L58" i="1"/>
  <c r="N52" i="1"/>
  <c r="P58" i="1"/>
  <c r="P51" i="1"/>
  <c r="P49" i="1"/>
  <c r="M49" i="1"/>
  <c r="P44" i="1"/>
  <c r="P53" i="1"/>
  <c r="P54" i="1"/>
  <c r="M53" i="1"/>
  <c r="N58" i="1"/>
  <c r="P55" i="1"/>
  <c r="P56" i="1"/>
  <c r="P43" i="1"/>
  <c r="P57" i="1"/>
  <c r="M43" i="1"/>
  <c r="M50" i="1"/>
  <c r="P45" i="1"/>
  <c r="P48" i="1"/>
  <c r="P50" i="1"/>
  <c r="P47" i="1"/>
  <c r="M58" i="1"/>
  <c r="M54" i="1"/>
  <c r="G58" i="1"/>
  <c r="I48" i="1"/>
  <c r="M46" i="1"/>
  <c r="G54" i="1"/>
  <c r="N55" i="1"/>
  <c r="F86" i="1"/>
  <c r="G47" i="1"/>
  <c r="G51" i="1"/>
  <c r="M44" i="1"/>
  <c r="F85" i="1"/>
  <c r="N45" i="1"/>
  <c r="G43" i="1"/>
  <c r="G50" i="1"/>
  <c r="I43" i="1"/>
  <c r="I45" i="1"/>
  <c r="I47" i="1"/>
  <c r="I55" i="1"/>
  <c r="G46" i="1"/>
  <c r="G45" i="1"/>
  <c r="G57" i="1"/>
  <c r="G44" i="1"/>
  <c r="I50" i="1"/>
  <c r="I44" i="1"/>
  <c r="I51" i="1"/>
  <c r="G48" i="1"/>
  <c r="G49" i="1"/>
  <c r="G55" i="1"/>
  <c r="N54" i="1"/>
  <c r="N56" i="1"/>
  <c r="N49" i="1"/>
  <c r="N46" i="1"/>
  <c r="M56" i="1"/>
  <c r="M47" i="1"/>
  <c r="M45" i="1"/>
  <c r="M48" i="1"/>
  <c r="Q56" i="1"/>
  <c r="Q52" i="1"/>
  <c r="Q54" i="1"/>
  <c r="Q57" i="1"/>
  <c r="Q53" i="1"/>
  <c r="Q45" i="1"/>
  <c r="Q48" i="1"/>
  <c r="Q50" i="1"/>
  <c r="Q58" i="1"/>
  <c r="Q44" i="1"/>
  <c r="Q47" i="1"/>
  <c r="Q51" i="1"/>
  <c r="Q55" i="1"/>
  <c r="Q49" i="1"/>
  <c r="Q46" i="1"/>
  <c r="N51" i="1"/>
  <c r="N53" i="1"/>
  <c r="N48" i="1"/>
  <c r="N44" i="1"/>
  <c r="N43" i="1"/>
  <c r="N47" i="1"/>
  <c r="N57" i="1"/>
  <c r="M57" i="1"/>
  <c r="M51" i="1"/>
  <c r="M52" i="1"/>
  <c r="Q43" i="1"/>
</calcChain>
</file>

<file path=xl/sharedStrings.xml><?xml version="1.0" encoding="utf-8"?>
<sst xmlns="http://schemas.openxmlformats.org/spreadsheetml/2006/main" count="80" uniqueCount="62">
  <si>
    <t>Engine displacement:</t>
  </si>
  <si>
    <t>Cylinders:</t>
  </si>
  <si>
    <t>Injector cc @ 3 bar:</t>
  </si>
  <si>
    <t>FPR:</t>
  </si>
  <si>
    <t>KRKTE:</t>
  </si>
  <si>
    <t>bar</t>
  </si>
  <si>
    <t>cc</t>
  </si>
  <si>
    <t>cm3</t>
  </si>
  <si>
    <t>&lt;- editable field</t>
  </si>
  <si>
    <t>KFMIRL</t>
  </si>
  <si>
    <t>Max boost:</t>
  </si>
  <si>
    <t>Aggresiveness:</t>
  </si>
  <si>
    <t>%</t>
  </si>
  <si>
    <t>rpm</t>
  </si>
  <si>
    <t>load</t>
  </si>
  <si>
    <t>KRKTE</t>
  </si>
  <si>
    <t>KFMIRL:</t>
  </si>
  <si>
    <t>Max cyl charge:</t>
  </si>
  <si>
    <t>Amplified max charge:</t>
  </si>
  <si>
    <t>Turbo type:</t>
  </si>
  <si>
    <t>Turbo types</t>
  </si>
  <si>
    <t>Small</t>
  </si>
  <si>
    <t>Big</t>
  </si>
  <si>
    <t>Factors</t>
  </si>
  <si>
    <t>KFMIOP</t>
  </si>
  <si>
    <t>Table size:</t>
  </si>
  <si>
    <t>cells</t>
  </si>
  <si>
    <t>16x16</t>
  </si>
  <si>
    <t>16x12</t>
  </si>
  <si>
    <t xml:space="preserve"> </t>
  </si>
  <si>
    <t>(Weight table from ME7Wizard)</t>
  </si>
  <si>
    <t>Original X-axis:</t>
  </si>
  <si>
    <t>&lt;- you may need these later for KFZWOP</t>
  </si>
  <si>
    <t>KFMIOP:</t>
  </si>
  <si>
    <t>KFZWOP</t>
  </si>
  <si>
    <t>Paste existing KFZWOP here:</t>
  </si>
  <si>
    <t>LDRXN</t>
  </si>
  <si>
    <t>Load</t>
  </si>
  <si>
    <t>LDRXN Weight table</t>
  </si>
  <si>
    <t>&lt;- new KRKTE</t>
  </si>
  <si>
    <t>Paste table into KFZWOP map</t>
  </si>
  <si>
    <t>Paste table into LDRXN map</t>
  </si>
  <si>
    <t xml:space="preserve">KFMIRL </t>
  </si>
  <si>
    <t>Paste table into KFMIOP map (including X-axis headers)</t>
  </si>
  <si>
    <t>Paste this table into KFZWOP map</t>
  </si>
  <si>
    <t>YES</t>
  </si>
  <si>
    <t>NO</t>
  </si>
  <si>
    <t>Smoothen:</t>
  </si>
  <si>
    <t>Paste this table into KFMIRL map</t>
  </si>
  <si>
    <t>C. Boost (bar)</t>
  </si>
  <si>
    <t>Akin to "Driver wish" in other ECUs. Select your KFMIRL table size (16x16 or 12x16), then enter a maximum boost you want (in bar); adjust the aggresiveness; select turbo type (K03/K03s and K04 are small); finally enter the RPM from the X-axis in your ECU map. Change the load on the Y-axis to match your ECU map. The table is populated automagically</t>
  </si>
  <si>
    <t>&lt;- calculated X-axis</t>
  </si>
  <si>
    <t>Any changes in KFMIRL have their counterpart in KFMIOP (it limits the KFMIRL torque request). If you do not change KFMIOP, the ECU will not know what limit to apply at higher boost levels. This means you must also modify the X-axis, but first enter the original X-axis values in the blue row</t>
  </si>
  <si>
    <t xml:space="preserve">KFZWOP is your optimal ignition angle. It will have to be adjusted for new KFMIRL. You can choose to smoothen the map or not. </t>
  </si>
  <si>
    <t>This is your Load limiter. Enter the X-axis (rpm) from your ECU map and the results are calculated. The "Calc. Boost" values are an orientation</t>
  </si>
  <si>
    <t>Useful if you have changed your injectors to a larger size</t>
  </si>
  <si>
    <t>&lt;- new KVB</t>
  </si>
  <si>
    <t>Inspired on the ME7 TUNER WIZARD by MASTERJ. 
This spreadsheet aims to be easier-to-use. Standard disclaimer applies (i.e. I am not responsible for anything)</t>
  </si>
  <si>
    <t>ME7 Stage1 remap calculator</t>
  </si>
  <si>
    <t>V0.4 (03 Feb 2020)</t>
  </si>
  <si>
    <t>TVUB</t>
  </si>
  <si>
    <t>new -&gt;</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</si>
</sst>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 #,##0.00_-;_-* &quot;-&quot;??_-;_-@_-"/>
    <numFmt numFmtId="164" formatCode="0.0"/>
    <numFmt numFmtId="165" formatCode="_-* #,##0.0000_-;\-* #,##0.0000_-;_-* &quot;-&quot;??_-;_-@_-"/>
  </numFmts>
  <fonts count="18"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color theme="1"/>
      <name val="Calibri"/>
      <family val="2"/>
      <charset val="186"/>
      <scheme val="minor"/>
    </font>
    <font>
      <b/>
      <sz val="11"/>
      <color theme="1"/>
      <name val="Calibri"/>
      <family val="2"/>
      <charset val="186"/>
      <scheme val="minor"/>
    </font>
    <font>
      <sz val="11"/>
      <name val="Calibri"/>
      <family val="2"/>
      <scheme val="minor"/>
    </font>
    <font>
      <sz val="11"/>
      <color theme="3"/>
      <name val="Calibri"/>
      <family val="2"/>
      <scheme val="minor"/>
    </font>
    <font>
      <sz val="11"/>
      <color rgb="FF002060"/>
      <name val="Calibri"/>
      <family val="2"/>
      <scheme val="minor"/>
    </font>
    <font>
      <sz val="11"/>
      <color rgb="FF000000"/>
      <name val="Courier New"/>
      <family val="3"/>
    </font>
    <font>
      <b/>
      <u/>
      <sz val="11"/>
      <color theme="1"/>
      <name val="Calibri"/>
      <family val="2"/>
      <scheme val="minor"/>
    </font>
    <font>
      <b/>
      <sz val="16"/>
      <color theme="0"/>
      <name val="Calibri"/>
      <family val="2"/>
      <scheme val="minor"/>
    </font>
    <font>
      <b/>
      <u/>
      <sz val="14"/>
      <color theme="0"/>
      <name val="Calibri"/>
      <family val="2"/>
      <scheme val="minor"/>
    </font>
    <font>
      <sz val="11"/>
      <color rgb="FF000000"/>
      <name val="Calibri"/>
      <family val="2"/>
    </font>
    <font>
      <sz val="11"/>
      <color theme="1"/>
      <name val="Calibri"/>
      <family val="2"/>
      <scheme val="minor"/>
    </font>
    <font>
      <sz val="10"/>
      <color theme="0"/>
      <name val="Calibri"/>
      <family val="2"/>
      <scheme val="minor"/>
    </font>
    <font>
      <sz val="11"/>
      <color indexed="11"/>
      <name val="Courier New"/>
      <family val="3"/>
    </font>
    <font>
      <sz val="11"/>
      <color theme="1"/>
      <name val="Courier New"/>
      <family val="3"/>
    </font>
  </fonts>
  <fills count="12">
    <fill>
      <patternFill patternType="none"/>
    </fill>
    <fill>
      <patternFill patternType="gray125"/>
    </fill>
    <fill>
      <patternFill patternType="solid">
        <fgColor rgb="FF92D050"/>
        <bgColor indexed="64"/>
      </patternFill>
    </fill>
    <fill>
      <patternFill patternType="solid">
        <fgColor rgb="FFFFC000"/>
        <bgColor indexed="64"/>
      </patternFill>
    </fill>
    <fill>
      <patternFill patternType="solid">
        <fgColor theme="0"/>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rgb="FFC5D9F1"/>
        <bgColor indexed="64"/>
      </patternFill>
    </fill>
    <fill>
      <patternFill patternType="solid">
        <fgColor rgb="FF00B0F0"/>
        <bgColor indexed="64"/>
      </patternFill>
    </fill>
    <fill>
      <patternFill patternType="solid">
        <fgColor theme="9" tint="0.59996337778862885"/>
        <bgColor indexed="64"/>
      </patternFill>
    </fill>
    <fill>
      <patternFill patternType="solid">
        <fgColor theme="0" tint="-0.14996795556505021"/>
        <bgColor indexed="64"/>
      </patternFill>
    </fill>
    <fill>
      <patternFill patternType="solid">
        <fgColor rgb="FF002060"/>
        <bgColor indexed="64"/>
      </patternFill>
    </fill>
  </fills>
  <borders count="43">
    <border>
      <left/>
      <right/>
      <top/>
      <bottom/>
      <diagonal/>
    </border>
    <border>
      <left style="thin">
        <color rgb="FF7F7F7F"/>
      </left>
      <right style="thin">
        <color rgb="FF7F7F7F"/>
      </right>
      <top style="thin">
        <color rgb="FF7F7F7F"/>
      </top>
      <bottom style="thin">
        <color rgb="FF7F7F7F"/>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ck">
        <color rgb="FF7F7F7F"/>
      </left>
      <right style="thick">
        <color rgb="FF7F7F7F"/>
      </right>
      <top style="thick">
        <color rgb="FF7F7F7F"/>
      </top>
      <bottom/>
      <diagonal/>
    </border>
    <border>
      <left style="thick">
        <color rgb="FF7F7F7F"/>
      </left>
      <right style="thin">
        <color rgb="FF7F7F7F"/>
      </right>
      <top style="thick">
        <color rgb="FF7F7F7F"/>
      </top>
      <bottom style="thick">
        <color rgb="FF7F7F7F"/>
      </bottom>
      <diagonal/>
    </border>
    <border>
      <left style="thin">
        <color rgb="FF7F7F7F"/>
      </left>
      <right style="thin">
        <color rgb="FF7F7F7F"/>
      </right>
      <top style="thick">
        <color rgb="FF7F7F7F"/>
      </top>
      <bottom style="thick">
        <color rgb="FF7F7F7F"/>
      </bottom>
      <diagonal/>
    </border>
    <border>
      <left style="thick">
        <color rgb="FF7F7F7F"/>
      </left>
      <right style="thick">
        <color rgb="FF7F7F7F"/>
      </right>
      <top style="thick">
        <color rgb="FF7F7F7F"/>
      </top>
      <bottom style="thin">
        <color rgb="FF7F7F7F"/>
      </bottom>
      <diagonal/>
    </border>
    <border>
      <left/>
      <right style="thin">
        <color rgb="FF7F7F7F"/>
      </right>
      <top style="thick">
        <color rgb="FF7F7F7F"/>
      </top>
      <bottom style="thin">
        <color rgb="FF7F7F7F"/>
      </bottom>
      <diagonal/>
    </border>
    <border>
      <left style="thin">
        <color rgb="FF7F7F7F"/>
      </left>
      <right style="thin">
        <color rgb="FF7F7F7F"/>
      </right>
      <top style="thick">
        <color rgb="FF7F7F7F"/>
      </top>
      <bottom style="thin">
        <color rgb="FF7F7F7F"/>
      </bottom>
      <diagonal/>
    </border>
    <border>
      <left/>
      <right style="thin">
        <color rgb="FF7F7F7F"/>
      </right>
      <top/>
      <bottom style="thin">
        <color rgb="FF7F7F7F"/>
      </bottom>
      <diagonal/>
    </border>
    <border>
      <left style="thin">
        <color rgb="FF7F7F7F"/>
      </left>
      <right style="thin">
        <color rgb="FF7F7F7F"/>
      </right>
      <top/>
      <bottom style="thin">
        <color rgb="FF7F7F7F"/>
      </bottom>
      <diagonal/>
    </border>
    <border>
      <left/>
      <right style="thin">
        <color rgb="FF7F7F7F"/>
      </right>
      <top/>
      <bottom style="thick">
        <color rgb="FF7F7F7F"/>
      </bottom>
      <diagonal/>
    </border>
    <border>
      <left style="thin">
        <color rgb="FF7F7F7F"/>
      </left>
      <right style="thin">
        <color rgb="FF7F7F7F"/>
      </right>
      <top/>
      <bottom style="thick">
        <color rgb="FF7F7F7F"/>
      </bottom>
      <diagonal/>
    </border>
    <border>
      <left style="thin">
        <color rgb="FF7F7F7F"/>
      </left>
      <right style="thick">
        <color rgb="FF7F7F7F"/>
      </right>
      <top style="thick">
        <color rgb="FF7F7F7F"/>
      </top>
      <bottom style="thick">
        <color rgb="FF7F7F7F"/>
      </bottom>
      <diagonal/>
    </border>
    <border>
      <left/>
      <right style="thick">
        <color rgb="FF7F7F7F"/>
      </right>
      <top style="thick">
        <color rgb="FF7F7F7F"/>
      </top>
      <bottom style="thin">
        <color rgb="FF7F7F7F"/>
      </bottom>
      <diagonal/>
    </border>
    <border>
      <left/>
      <right style="thick">
        <color rgb="FF7F7F7F"/>
      </right>
      <top/>
      <bottom style="thin">
        <color rgb="FF7F7F7F"/>
      </bottom>
      <diagonal/>
    </border>
    <border>
      <left/>
      <right style="thick">
        <color rgb="FF7F7F7F"/>
      </right>
      <top/>
      <bottom style="thick">
        <color rgb="FF7F7F7F"/>
      </bottom>
      <diagonal/>
    </border>
    <border>
      <left style="thick">
        <color rgb="FF7F7F7F"/>
      </left>
      <right style="thin">
        <color rgb="FF7F7F7F"/>
      </right>
      <top style="thick">
        <color rgb="FF7F7F7F"/>
      </top>
      <bottom style="thin">
        <color rgb="FF7F7F7F"/>
      </bottom>
      <diagonal/>
    </border>
    <border>
      <left style="thin">
        <color rgb="FF7F7F7F"/>
      </left>
      <right style="thick">
        <color rgb="FF7F7F7F"/>
      </right>
      <top style="thick">
        <color rgb="FF7F7F7F"/>
      </top>
      <bottom style="thin">
        <color rgb="FF7F7F7F"/>
      </bottom>
      <diagonal/>
    </border>
    <border>
      <left style="thick">
        <color rgb="FF7F7F7F"/>
      </left>
      <right style="thin">
        <color rgb="FF7F7F7F"/>
      </right>
      <top style="thin">
        <color rgb="FF7F7F7F"/>
      </top>
      <bottom style="thin">
        <color rgb="FF7F7F7F"/>
      </bottom>
      <diagonal/>
    </border>
    <border>
      <left style="thin">
        <color rgb="FF7F7F7F"/>
      </left>
      <right style="thick">
        <color rgb="FF7F7F7F"/>
      </right>
      <top style="thin">
        <color rgb="FF7F7F7F"/>
      </top>
      <bottom style="thin">
        <color rgb="FF7F7F7F"/>
      </bottom>
      <diagonal/>
    </border>
    <border>
      <left style="thick">
        <color rgb="FF7F7F7F"/>
      </left>
      <right style="thin">
        <color rgb="FF7F7F7F"/>
      </right>
      <top style="thin">
        <color rgb="FF7F7F7F"/>
      </top>
      <bottom style="thick">
        <color rgb="FF7F7F7F"/>
      </bottom>
      <diagonal/>
    </border>
    <border>
      <left style="thin">
        <color rgb="FF7F7F7F"/>
      </left>
      <right style="thin">
        <color rgb="FF7F7F7F"/>
      </right>
      <top style="thin">
        <color rgb="FF7F7F7F"/>
      </top>
      <bottom style="thick">
        <color rgb="FF7F7F7F"/>
      </bottom>
      <diagonal/>
    </border>
    <border>
      <left style="thin">
        <color rgb="FF7F7F7F"/>
      </left>
      <right style="thick">
        <color rgb="FF7F7F7F"/>
      </right>
      <top style="thin">
        <color rgb="FF7F7F7F"/>
      </top>
      <bottom style="thick">
        <color rgb="FF7F7F7F"/>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medium">
        <color rgb="FFEAECF0"/>
      </left>
      <right style="medium">
        <color rgb="FFEAECF0"/>
      </right>
      <top style="medium">
        <color rgb="FFEAECF0"/>
      </top>
      <bottom style="medium">
        <color rgb="FFEAECF0"/>
      </bottom>
      <diagonal/>
    </border>
    <border>
      <left/>
      <right style="medium">
        <color rgb="FFEAECF0"/>
      </right>
      <top/>
      <bottom/>
      <diagonal/>
    </border>
    <border>
      <left/>
      <right style="medium">
        <color rgb="FFEAECF0"/>
      </right>
      <top/>
      <bottom style="thick">
        <color auto="1"/>
      </bottom>
      <diagonal/>
    </border>
    <border>
      <left style="medium">
        <color rgb="FFEAECF0"/>
      </left>
      <right style="medium">
        <color rgb="FFEAECF0"/>
      </right>
      <top style="medium">
        <color rgb="FFEAECF0"/>
      </top>
      <bottom style="thick">
        <color auto="1"/>
      </bottom>
      <diagonal/>
    </border>
  </borders>
  <cellStyleXfs count="3">
    <xf numFmtId="0" fontId="0" fillId="0" borderId="0"/>
    <xf numFmtId="43" fontId="14" fillId="0" borderId="0" applyFont="0" applyFill="0" applyBorder="0" applyAlignment="0" applyProtection="0"/>
    <xf numFmtId="0" fontId="16" fillId="3" borderId="39">
      <alignment horizontal="right" vertical="center" indent="1"/>
    </xf>
  </cellStyleXfs>
  <cellXfs count="108">
    <xf numFmtId="0" fontId="0" fillId="0" borderId="0" xfId="0"/>
    <xf numFmtId="0" fontId="0" fillId="3" borderId="0" xfId="0" applyFill="1"/>
    <xf numFmtId="1" fontId="0" fillId="0" borderId="0" xfId="0" applyNumberFormat="1"/>
    <xf numFmtId="0" fontId="0" fillId="0" borderId="2" xfId="0" applyBorder="1"/>
    <xf numFmtId="0" fontId="0" fillId="0" borderId="3" xfId="0" applyBorder="1"/>
    <xf numFmtId="0" fontId="0" fillId="0" borderId="4" xfId="0" applyBorder="1"/>
    <xf numFmtId="0" fontId="0" fillId="0" borderId="5" xfId="0" applyBorder="1"/>
    <xf numFmtId="0" fontId="0" fillId="0" borderId="0" xfId="0" applyBorder="1"/>
    <xf numFmtId="1" fontId="0" fillId="0" borderId="0" xfId="0" applyNumberFormat="1" applyBorder="1"/>
    <xf numFmtId="0" fontId="0" fillId="0" borderId="6" xfId="0" applyBorder="1"/>
    <xf numFmtId="0" fontId="0" fillId="4" borderId="0" xfId="0" applyFill="1" applyBorder="1"/>
    <xf numFmtId="0" fontId="0" fillId="4" borderId="6" xfId="0" applyFill="1" applyBorder="1"/>
    <xf numFmtId="0" fontId="0" fillId="0" borderId="7" xfId="0" applyBorder="1"/>
    <xf numFmtId="0" fontId="0" fillId="0" borderId="8" xfId="0" applyBorder="1"/>
    <xf numFmtId="0" fontId="0" fillId="4" borderId="8" xfId="0" applyFill="1" applyBorder="1"/>
    <xf numFmtId="0" fontId="0" fillId="4" borderId="9" xfId="0" applyFill="1" applyBorder="1"/>
    <xf numFmtId="0" fontId="0" fillId="0" borderId="0" xfId="0" applyFill="1" applyBorder="1"/>
    <xf numFmtId="0" fontId="4" fillId="6" borderId="10" xfId="0" applyFont="1" applyFill="1" applyBorder="1" applyAlignment="1" applyProtection="1">
      <alignment horizontal="center" vertical="center" textRotation="45" wrapText="1"/>
      <protection hidden="1"/>
    </xf>
    <xf numFmtId="0" fontId="5" fillId="7" borderId="11" xfId="0" applyFont="1" applyFill="1" applyBorder="1" applyAlignment="1" applyProtection="1">
      <alignment horizontal="center"/>
      <protection hidden="1"/>
    </xf>
    <xf numFmtId="0" fontId="5" fillId="7" borderId="12" xfId="0" applyFont="1" applyFill="1" applyBorder="1" applyAlignment="1" applyProtection="1">
      <alignment horizontal="center"/>
      <protection hidden="1"/>
    </xf>
    <xf numFmtId="0" fontId="5" fillId="7" borderId="13" xfId="0" applyFont="1" applyFill="1" applyBorder="1" applyAlignment="1" applyProtection="1">
      <alignment horizontal="center" vertical="center"/>
      <protection hidden="1"/>
    </xf>
    <xf numFmtId="164" fontId="0" fillId="7" borderId="14" xfId="0" applyNumberFormat="1" applyFont="1" applyFill="1" applyBorder="1" applyAlignment="1" applyProtection="1">
      <alignment horizontal="center" vertical="center"/>
      <protection hidden="1"/>
    </xf>
    <xf numFmtId="164" fontId="0" fillId="7" borderId="15" xfId="0" applyNumberFormat="1" applyFont="1" applyFill="1" applyBorder="1" applyAlignment="1" applyProtection="1">
      <alignment horizontal="center" vertical="center"/>
      <protection hidden="1"/>
    </xf>
    <xf numFmtId="164" fontId="0" fillId="7" borderId="16" xfId="0" applyNumberFormat="1" applyFont="1" applyFill="1" applyBorder="1" applyAlignment="1" applyProtection="1">
      <alignment horizontal="center" vertical="center"/>
      <protection hidden="1"/>
    </xf>
    <xf numFmtId="164" fontId="0" fillId="7" borderId="17" xfId="0" applyNumberFormat="1" applyFont="1" applyFill="1" applyBorder="1" applyAlignment="1" applyProtection="1">
      <alignment horizontal="center" vertical="center"/>
      <protection hidden="1"/>
    </xf>
    <xf numFmtId="164" fontId="0" fillId="7" borderId="18" xfId="0" applyNumberFormat="1" applyFont="1" applyFill="1" applyBorder="1" applyAlignment="1" applyProtection="1">
      <alignment horizontal="center" vertical="center"/>
      <protection hidden="1"/>
    </xf>
    <xf numFmtId="164" fontId="0" fillId="7" borderId="19" xfId="0" applyNumberFormat="1" applyFont="1" applyFill="1" applyBorder="1" applyAlignment="1" applyProtection="1">
      <alignment horizontal="center" vertical="center"/>
      <protection hidden="1"/>
    </xf>
    <xf numFmtId="0" fontId="5" fillId="7" borderId="20" xfId="0" applyFont="1" applyFill="1" applyBorder="1" applyAlignment="1" applyProtection="1">
      <alignment horizontal="center"/>
      <protection hidden="1"/>
    </xf>
    <xf numFmtId="164" fontId="0" fillId="7" borderId="21" xfId="0" applyNumberFormat="1" applyFont="1" applyFill="1" applyBorder="1" applyAlignment="1" applyProtection="1">
      <alignment horizontal="center" vertical="center"/>
      <protection hidden="1"/>
    </xf>
    <xf numFmtId="164" fontId="0" fillId="7" borderId="22" xfId="0" applyNumberFormat="1" applyFont="1" applyFill="1" applyBorder="1" applyAlignment="1" applyProtection="1">
      <alignment horizontal="center" vertical="center"/>
      <protection hidden="1"/>
    </xf>
    <xf numFmtId="164" fontId="0" fillId="7" borderId="23" xfId="0" applyNumberFormat="1" applyFont="1" applyFill="1" applyBorder="1" applyAlignment="1" applyProtection="1">
      <alignment horizontal="center" vertical="center"/>
      <protection hidden="1"/>
    </xf>
    <xf numFmtId="1" fontId="1" fillId="0" borderId="0" xfId="0" applyNumberFormat="1" applyFont="1" applyFill="1"/>
    <xf numFmtId="0" fontId="6" fillId="3" borderId="6" xfId="0" applyFont="1" applyFill="1" applyBorder="1"/>
    <xf numFmtId="2" fontId="8" fillId="3" borderId="2" xfId="0" applyNumberFormat="1" applyFont="1" applyFill="1" applyBorder="1"/>
    <xf numFmtId="2" fontId="8" fillId="3" borderId="3" xfId="0" applyNumberFormat="1" applyFont="1" applyFill="1" applyBorder="1"/>
    <xf numFmtId="2" fontId="8" fillId="3" borderId="5" xfId="0" applyNumberFormat="1" applyFont="1" applyFill="1" applyBorder="1"/>
    <xf numFmtId="2" fontId="8" fillId="3" borderId="0" xfId="0" applyNumberFormat="1" applyFont="1" applyFill="1" applyBorder="1"/>
    <xf numFmtId="1" fontId="0" fillId="0" borderId="24" xfId="0" applyNumberFormat="1" applyBorder="1" applyAlignment="1" applyProtection="1">
      <alignment horizontal="center" vertical="center"/>
      <protection hidden="1"/>
    </xf>
    <xf numFmtId="1" fontId="0" fillId="0" borderId="15" xfId="0" applyNumberFormat="1" applyBorder="1" applyAlignment="1" applyProtection="1">
      <alignment horizontal="center" vertical="center"/>
      <protection hidden="1"/>
    </xf>
    <xf numFmtId="1" fontId="0" fillId="0" borderId="25" xfId="0" applyNumberFormat="1" applyBorder="1" applyAlignment="1" applyProtection="1">
      <alignment horizontal="center" vertical="center"/>
      <protection hidden="1"/>
    </xf>
    <xf numFmtId="1" fontId="0" fillId="0" borderId="26" xfId="0" applyNumberFormat="1" applyBorder="1" applyAlignment="1" applyProtection="1">
      <alignment horizontal="center" vertical="center"/>
      <protection hidden="1"/>
    </xf>
    <xf numFmtId="1" fontId="0" fillId="0" borderId="1" xfId="0" applyNumberFormat="1" applyBorder="1" applyAlignment="1" applyProtection="1">
      <alignment horizontal="center" vertical="center"/>
      <protection hidden="1"/>
    </xf>
    <xf numFmtId="1" fontId="0" fillId="0" borderId="27" xfId="0" applyNumberFormat="1" applyBorder="1" applyAlignment="1" applyProtection="1">
      <alignment horizontal="center" vertical="center"/>
      <protection hidden="1"/>
    </xf>
    <xf numFmtId="1" fontId="0" fillId="0" borderId="28" xfId="0" applyNumberFormat="1" applyBorder="1" applyAlignment="1" applyProtection="1">
      <alignment horizontal="center" vertical="center"/>
      <protection hidden="1"/>
    </xf>
    <xf numFmtId="1" fontId="0" fillId="0" borderId="29" xfId="0" applyNumberFormat="1" applyBorder="1" applyAlignment="1" applyProtection="1">
      <alignment horizontal="center" vertical="center"/>
      <protection hidden="1"/>
    </xf>
    <xf numFmtId="1" fontId="0" fillId="0" borderId="30" xfId="0" applyNumberFormat="1" applyBorder="1" applyAlignment="1" applyProtection="1">
      <alignment horizontal="center" vertical="center"/>
      <protection hidden="1"/>
    </xf>
    <xf numFmtId="0" fontId="0" fillId="3" borderId="0" xfId="0" applyFill="1" applyAlignment="1">
      <alignment horizontal="center"/>
    </xf>
    <xf numFmtId="0" fontId="2" fillId="0" borderId="0" xfId="0" applyFont="1" applyBorder="1"/>
    <xf numFmtId="0" fontId="0" fillId="3" borderId="0" xfId="0" applyFill="1" applyBorder="1"/>
    <xf numFmtId="1" fontId="0" fillId="3" borderId="0" xfId="0" applyNumberFormat="1" applyFill="1" applyBorder="1"/>
    <xf numFmtId="0" fontId="0" fillId="0" borderId="31" xfId="0" applyBorder="1"/>
    <xf numFmtId="0" fontId="0" fillId="0" borderId="32" xfId="0" applyBorder="1"/>
    <xf numFmtId="0" fontId="0" fillId="0" borderId="33" xfId="0" applyBorder="1"/>
    <xf numFmtId="0" fontId="0" fillId="0" borderId="34" xfId="0" applyBorder="1"/>
    <xf numFmtId="0" fontId="0" fillId="0" borderId="35" xfId="0" applyBorder="1"/>
    <xf numFmtId="0" fontId="0" fillId="0" borderId="0" xfId="0" applyFont="1" applyBorder="1"/>
    <xf numFmtId="0" fontId="7" fillId="2" borderId="0" xfId="0" applyFont="1" applyFill="1" applyBorder="1"/>
    <xf numFmtId="1" fontId="0" fillId="0" borderId="35" xfId="0" applyNumberFormat="1" applyFill="1" applyBorder="1"/>
    <xf numFmtId="0" fontId="0" fillId="0" borderId="36" xfId="0" applyBorder="1"/>
    <xf numFmtId="0" fontId="0" fillId="0" borderId="37" xfId="0" applyBorder="1"/>
    <xf numFmtId="0" fontId="0" fillId="0" borderId="38" xfId="0" applyBorder="1"/>
    <xf numFmtId="0" fontId="0" fillId="0" borderId="0" xfId="0" applyBorder="1" applyAlignment="1">
      <alignment horizontal="right"/>
    </xf>
    <xf numFmtId="2" fontId="9" fillId="3" borderId="42" xfId="0" applyNumberFormat="1" applyFont="1" applyFill="1" applyBorder="1" applyAlignment="1">
      <alignment horizontal="right" vertical="center" indent="1"/>
    </xf>
    <xf numFmtId="0" fontId="10" fillId="0" borderId="0" xfId="0" applyFont="1" applyBorder="1"/>
    <xf numFmtId="0" fontId="0" fillId="8" borderId="0" xfId="0" applyFill="1" applyBorder="1"/>
    <xf numFmtId="0" fontId="3" fillId="8" borderId="0" xfId="0" applyFont="1" applyFill="1" applyBorder="1" applyProtection="1">
      <protection locked="0"/>
    </xf>
    <xf numFmtId="2" fontId="3" fillId="8" borderId="0" xfId="0" applyNumberFormat="1" applyFont="1" applyFill="1" applyBorder="1" applyProtection="1">
      <protection locked="0"/>
    </xf>
    <xf numFmtId="2" fontId="0" fillId="0" borderId="0" xfId="0" applyNumberFormat="1" applyBorder="1"/>
    <xf numFmtId="0" fontId="0" fillId="0" borderId="0" xfId="0" applyFill="1" applyBorder="1" applyAlignment="1">
      <alignment vertical="center" wrapText="1"/>
    </xf>
    <xf numFmtId="0" fontId="3" fillId="0" borderId="0" xfId="0" applyFont="1" applyFill="1" applyBorder="1"/>
    <xf numFmtId="0" fontId="0" fillId="0" borderId="0" xfId="0" applyFill="1"/>
    <xf numFmtId="165" fontId="15" fillId="8" borderId="0" xfId="1" applyNumberFormat="1" applyFont="1" applyFill="1" applyBorder="1"/>
    <xf numFmtId="165" fontId="15" fillId="8" borderId="35" xfId="1" applyNumberFormat="1" applyFont="1" applyFill="1" applyBorder="1"/>
    <xf numFmtId="0" fontId="15" fillId="8" borderId="0" xfId="0" applyFont="1" applyFill="1" applyBorder="1"/>
    <xf numFmtId="0" fontId="15" fillId="8" borderId="35" xfId="0" applyFont="1" applyFill="1" applyBorder="1"/>
    <xf numFmtId="0" fontId="0" fillId="0" borderId="34" xfId="0" applyBorder="1" applyAlignment="1">
      <alignment horizontal="right"/>
    </xf>
    <xf numFmtId="0" fontId="0" fillId="3" borderId="35" xfId="0" applyFill="1" applyBorder="1"/>
    <xf numFmtId="0" fontId="10" fillId="0" borderId="31" xfId="0" applyFont="1" applyBorder="1"/>
    <xf numFmtId="9" fontId="0" fillId="0" borderId="0" xfId="0" applyNumberFormat="1"/>
    <xf numFmtId="1" fontId="0" fillId="0" borderId="37" xfId="0" applyNumberFormat="1" applyBorder="1"/>
    <xf numFmtId="1" fontId="0" fillId="4" borderId="0" xfId="0" applyNumberFormat="1" applyFill="1" applyBorder="1"/>
    <xf numFmtId="0" fontId="17" fillId="3" borderId="39" xfId="2" applyFont="1">
      <alignment horizontal="right" vertical="center" indent="1"/>
    </xf>
    <xf numFmtId="0" fontId="11" fillId="11" borderId="34" xfId="0" applyFont="1" applyFill="1" applyBorder="1" applyAlignment="1">
      <alignment horizontal="center" vertical="center" wrapText="1"/>
    </xf>
    <xf numFmtId="0" fontId="11" fillId="11" borderId="0" xfId="0" applyFont="1" applyFill="1" applyBorder="1" applyAlignment="1">
      <alignment horizontal="center" vertical="center" wrapText="1"/>
    </xf>
    <xf numFmtId="0" fontId="11" fillId="11" borderId="35" xfId="0" applyFont="1" applyFill="1" applyBorder="1" applyAlignment="1">
      <alignment horizontal="center" vertical="center" wrapText="1"/>
    </xf>
    <xf numFmtId="0" fontId="12" fillId="11" borderId="31" xfId="0" applyFont="1" applyFill="1" applyBorder="1" applyAlignment="1">
      <alignment horizontal="center" vertical="center" wrapText="1"/>
    </xf>
    <xf numFmtId="0" fontId="12" fillId="11" borderId="32" xfId="0" applyFont="1" applyFill="1" applyBorder="1" applyAlignment="1">
      <alignment horizontal="center" vertical="center" wrapText="1"/>
    </xf>
    <xf numFmtId="0" fontId="12" fillId="11" borderId="33" xfId="0" applyFont="1" applyFill="1" applyBorder="1" applyAlignment="1">
      <alignment horizontal="center" vertical="center" wrapText="1"/>
    </xf>
    <xf numFmtId="0" fontId="0" fillId="9" borderId="0" xfId="0" applyFill="1" applyBorder="1" applyAlignment="1">
      <alignment horizontal="center" vertical="center" wrapText="1"/>
    </xf>
    <xf numFmtId="0" fontId="0" fillId="10" borderId="0" xfId="0" applyFill="1" applyBorder="1" applyAlignment="1">
      <alignment horizontal="center"/>
    </xf>
    <xf numFmtId="0" fontId="0" fillId="10" borderId="0" xfId="0" applyFill="1" applyBorder="1" applyAlignment="1">
      <alignment horizontal="center" vertical="center" textRotation="255"/>
    </xf>
    <xf numFmtId="0" fontId="0" fillId="5" borderId="0" xfId="0" applyFill="1" applyBorder="1" applyAlignment="1">
      <alignment horizontal="center"/>
    </xf>
    <xf numFmtId="0" fontId="0" fillId="5" borderId="0" xfId="0" applyFill="1" applyBorder="1" applyAlignment="1">
      <alignment horizontal="center" vertical="center" textRotation="255" readingOrder="1"/>
    </xf>
    <xf numFmtId="0" fontId="3" fillId="8" borderId="0" xfId="0" applyFont="1" applyFill="1" applyBorder="1" applyAlignment="1" applyProtection="1">
      <protection locked="0"/>
    </xf>
    <xf numFmtId="0" fontId="3" fillId="8" borderId="0" xfId="0" applyFont="1" applyFill="1" applyAlignment="1" applyProtection="1">
      <protection locked="0"/>
    </xf>
    <xf numFmtId="0" fontId="0" fillId="3" borderId="0" xfId="0" applyFill="1" applyBorder="1" applyAlignment="1"/>
    <xf numFmtId="0" fontId="0" fillId="0" borderId="0" xfId="0" applyAlignment="1"/>
    <xf numFmtId="0" fontId="0" fillId="0" borderId="40" xfId="0" applyBorder="1" applyAlignment="1"/>
    <xf numFmtId="0" fontId="0" fillId="3" borderId="37" xfId="0" applyFill="1" applyBorder="1" applyAlignment="1"/>
    <xf numFmtId="0" fontId="0" fillId="0" borderId="37" xfId="0" applyBorder="1" applyAlignment="1"/>
    <xf numFmtId="0" fontId="0" fillId="0" borderId="41" xfId="0" applyBorder="1" applyAlignment="1"/>
    <xf numFmtId="0" fontId="0" fillId="9" borderId="34" xfId="0" applyFill="1" applyBorder="1" applyAlignment="1">
      <alignment horizontal="center" vertical="center" wrapText="1"/>
    </xf>
    <xf numFmtId="0" fontId="3" fillId="11" borderId="34" xfId="0" applyFont="1" applyFill="1" applyBorder="1" applyAlignment="1">
      <alignment horizontal="center" vertical="center" wrapText="1"/>
    </xf>
    <xf numFmtId="0" fontId="3" fillId="11" borderId="0" xfId="0" applyFont="1" applyFill="1" applyBorder="1" applyAlignment="1">
      <alignment horizontal="center" vertical="center" wrapText="1"/>
    </xf>
    <xf numFmtId="0" fontId="3" fillId="11" borderId="35" xfId="0" applyFont="1" applyFill="1" applyBorder="1" applyAlignment="1">
      <alignment horizontal="center" vertical="center" wrapText="1"/>
    </xf>
    <xf numFmtId="0" fontId="3" fillId="11" borderId="36" xfId="0" applyFont="1" applyFill="1" applyBorder="1" applyAlignment="1">
      <alignment horizontal="center" vertical="center" wrapText="1"/>
    </xf>
    <xf numFmtId="0" fontId="3" fillId="11" borderId="37" xfId="0" applyFont="1" applyFill="1" applyBorder="1" applyAlignment="1">
      <alignment horizontal="center" vertical="center" wrapText="1"/>
    </xf>
    <xf numFmtId="0" fontId="3" fillId="11" borderId="38" xfId="0" applyFont="1" applyFill="1" applyBorder="1" applyAlignment="1">
      <alignment horizontal="center" vertical="center" wrapText="1"/>
    </xf>
  </cellXfs>
  <cellStyles count="3">
    <cellStyle name="Comma" xfId="1" builtinId="3"/>
    <cellStyle name="Flashing" xfId="2"/>
    <cellStyle name="Normal" xfId="0" builtinId="0"/>
  </cellStyles>
  <dxfs count="1">
    <dxf>
      <font>
        <strike val="0"/>
        <u val="none"/>
        <color theme="9" tint="0.59996337778862885"/>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xdr:col>
      <xdr:colOff>104775</xdr:colOff>
      <xdr:row>1</xdr:row>
      <xdr:rowOff>95250</xdr:rowOff>
    </xdr:from>
    <xdr:to>
      <xdr:col>1</xdr:col>
      <xdr:colOff>1628775</xdr:colOff>
      <xdr:row>8</xdr:row>
      <xdr:rowOff>180975</xdr:rowOff>
    </xdr:to>
    <xdr:pic>
      <xdr:nvPicPr>
        <xdr:cNvPr id="2" name="Picture 1" descr="C:\Users\ebund\AppData\Local\Microsoft\Windows\INetCache\IE\86WJ1KNU\1NumberOneInCircle[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4375" y="95250"/>
          <a:ext cx="1524000" cy="152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152400</xdr:colOff>
      <xdr:row>16</xdr:row>
      <xdr:rowOff>85725</xdr:rowOff>
    </xdr:from>
    <xdr:to>
      <xdr:col>1</xdr:col>
      <xdr:colOff>1676400</xdr:colOff>
      <xdr:row>24</xdr:row>
      <xdr:rowOff>85725</xdr:rowOff>
    </xdr:to>
    <xdr:pic>
      <xdr:nvPicPr>
        <xdr:cNvPr id="3" name="Picture 2" descr="C:\Users\ebund\AppData\Local\Microsoft\Windows\INetCache\IE\86WJ1KNU\2NumberTwoInCircle[1].png"/>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2400" y="2562225"/>
          <a:ext cx="1524000" cy="152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209550</xdr:colOff>
      <xdr:row>43</xdr:row>
      <xdr:rowOff>152399</xdr:rowOff>
    </xdr:from>
    <xdr:to>
      <xdr:col>1</xdr:col>
      <xdr:colOff>1695450</xdr:colOff>
      <xdr:row>51</xdr:row>
      <xdr:rowOff>114299</xdr:rowOff>
    </xdr:to>
    <xdr:pic>
      <xdr:nvPicPr>
        <xdr:cNvPr id="4" name="Picture 3" descr="C:\Users\ebund\AppData\Local\Microsoft\Windows\INetCache\IE\SQOWII7N\3NumberThreeInCircle.svg[1].png"/>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19150" y="7962899"/>
          <a:ext cx="1485900" cy="1485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276225</xdr:colOff>
      <xdr:row>66</xdr:row>
      <xdr:rowOff>161925</xdr:rowOff>
    </xdr:from>
    <xdr:to>
      <xdr:col>2</xdr:col>
      <xdr:colOff>85725</xdr:colOff>
      <xdr:row>74</xdr:row>
      <xdr:rowOff>161925</xdr:rowOff>
    </xdr:to>
    <xdr:pic>
      <xdr:nvPicPr>
        <xdr:cNvPr id="5" name="Picture 4" descr="C:\Users\ebund\AppData\Local\Microsoft\Windows\INetCache\IE\D4I8LS2O\4NumberFourInCircle[1].png"/>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885825" y="12353925"/>
          <a:ext cx="1524000" cy="152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180975</xdr:colOff>
      <xdr:row>92</xdr:row>
      <xdr:rowOff>123825</xdr:rowOff>
    </xdr:from>
    <xdr:to>
      <xdr:col>1</xdr:col>
      <xdr:colOff>1704975</xdr:colOff>
      <xdr:row>101</xdr:row>
      <xdr:rowOff>95249</xdr:rowOff>
    </xdr:to>
    <xdr:pic>
      <xdr:nvPicPr>
        <xdr:cNvPr id="6" name="Picture 5" descr="C:\Users\ebund\AppData\Local\Microsoft\Windows\INetCache\IE\SQOWII7N\5NumberFiveInCircle[1].png"/>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90575" y="17802225"/>
          <a:ext cx="1524000" cy="152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28575</xdr:colOff>
          <xdr:row>94</xdr:row>
          <xdr:rowOff>0</xdr:rowOff>
        </xdr:from>
        <xdr:to>
          <xdr:col>3</xdr:col>
          <xdr:colOff>0</xdr:colOff>
          <xdr:row>95</xdr:row>
          <xdr:rowOff>180975</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Recalc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1704975</xdr:colOff>
          <xdr:row>63</xdr:row>
          <xdr:rowOff>9525</xdr:rowOff>
        </xdr:from>
        <xdr:to>
          <xdr:col>3</xdr:col>
          <xdr:colOff>0</xdr:colOff>
          <xdr:row>64</xdr:row>
          <xdr:rowOff>0</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Recalc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W103"/>
  <sheetViews>
    <sheetView tabSelected="1" zoomScale="80" zoomScaleNormal="80" workbookViewId="0">
      <selection activeCell="F10" sqref="F10"/>
    </sheetView>
  </sheetViews>
  <sheetFormatPr defaultRowHeight="15" x14ac:dyDescent="0.25"/>
  <cols>
    <col min="2" max="2" width="25.7109375" customWidth="1"/>
    <col min="3" max="3" width="13.28515625" customWidth="1"/>
    <col min="4" max="4" width="4.5703125" customWidth="1"/>
    <col min="5" max="5" width="3.42578125" customWidth="1"/>
    <col min="7" max="7" width="10.28515625" customWidth="1"/>
  </cols>
  <sheetData>
    <row r="1" spans="2:23" ht="15.75" thickBot="1" x14ac:dyDescent="0.3"/>
    <row r="2" spans="2:23" ht="15.75" customHeight="1" thickTop="1" thickBot="1" x14ac:dyDescent="0.3">
      <c r="B2" s="50"/>
      <c r="C2" s="51"/>
      <c r="D2" s="51"/>
      <c r="E2" s="51"/>
      <c r="F2" s="51"/>
      <c r="G2" s="51"/>
      <c r="H2" s="51"/>
      <c r="I2" s="51"/>
      <c r="J2" s="51"/>
      <c r="K2" s="52"/>
      <c r="M2" s="85" t="s">
        <v>58</v>
      </c>
      <c r="N2" s="86"/>
      <c r="O2" s="86"/>
      <c r="P2" s="87"/>
    </row>
    <row r="3" spans="2:23" ht="21.75" thickTop="1" x14ac:dyDescent="0.25">
      <c r="B3" s="53"/>
      <c r="C3" s="63" t="s">
        <v>15</v>
      </c>
      <c r="D3" s="7"/>
      <c r="E3" s="7"/>
      <c r="H3" s="64"/>
      <c r="I3" s="7" t="s">
        <v>8</v>
      </c>
      <c r="J3" s="7"/>
      <c r="K3" s="54"/>
      <c r="M3" s="82" t="s">
        <v>59</v>
      </c>
      <c r="N3" s="83"/>
      <c r="O3" s="83"/>
      <c r="P3" s="84"/>
      <c r="R3" s="77" t="s">
        <v>60</v>
      </c>
      <c r="S3" s="51"/>
      <c r="T3" s="51"/>
      <c r="U3" s="51"/>
      <c r="V3" s="51"/>
      <c r="W3" s="52"/>
    </row>
    <row r="4" spans="2:23" x14ac:dyDescent="0.25">
      <c r="B4" s="53"/>
      <c r="C4" s="7"/>
      <c r="D4" s="7"/>
      <c r="E4" s="7"/>
      <c r="F4" s="69"/>
      <c r="G4" s="7"/>
      <c r="H4" s="48">
        <f>ROUND(F8*SQRT(F9/3),2)</f>
        <v>386</v>
      </c>
      <c r="I4" s="7" t="s">
        <v>56</v>
      </c>
      <c r="J4" s="7"/>
      <c r="K4" s="54"/>
      <c r="M4" s="102" t="s">
        <v>57</v>
      </c>
      <c r="N4" s="103"/>
      <c r="O4" s="103"/>
      <c r="P4" s="104"/>
      <c r="R4" s="53"/>
      <c r="S4" s="71">
        <v>7.9951999999999996</v>
      </c>
      <c r="T4" s="71">
        <v>9.9968000000000004</v>
      </c>
      <c r="U4" s="71">
        <v>11.968</v>
      </c>
      <c r="V4" s="71">
        <v>14.009600000000001</v>
      </c>
      <c r="W4" s="72">
        <v>15.9808</v>
      </c>
    </row>
    <row r="5" spans="2:23" x14ac:dyDescent="0.25">
      <c r="B5" s="53"/>
      <c r="C5" s="70"/>
      <c r="D5" s="16"/>
      <c r="E5" s="16"/>
      <c r="F5" s="69"/>
      <c r="G5" s="7"/>
      <c r="H5" s="48">
        <f>Calc!D3</f>
        <v>8.4762497348725874E-2</v>
      </c>
      <c r="I5" s="7" t="s">
        <v>39</v>
      </c>
      <c r="J5" s="7"/>
      <c r="K5" s="54"/>
      <c r="M5" s="102"/>
      <c r="N5" s="103"/>
      <c r="O5" s="103"/>
      <c r="P5" s="104"/>
      <c r="R5" s="53"/>
      <c r="S5" s="73">
        <v>1.7413000000000001</v>
      </c>
      <c r="T5" s="73">
        <v>1.1387</v>
      </c>
      <c r="U5" s="73">
        <v>0.81069999999999998</v>
      </c>
      <c r="V5" s="73">
        <v>0.59730000000000005</v>
      </c>
      <c r="W5" s="74">
        <v>0.44269999999999998</v>
      </c>
    </row>
    <row r="6" spans="2:23" x14ac:dyDescent="0.25">
      <c r="B6" s="53"/>
      <c r="C6" s="7" t="s">
        <v>0</v>
      </c>
      <c r="D6" s="7"/>
      <c r="E6" s="7"/>
      <c r="F6" s="65">
        <v>1781</v>
      </c>
      <c r="G6" s="7" t="s">
        <v>7</v>
      </c>
      <c r="H6" s="7"/>
      <c r="K6" s="54"/>
      <c r="M6" s="102"/>
      <c r="N6" s="103"/>
      <c r="O6" s="103"/>
      <c r="P6" s="104"/>
      <c r="R6" s="53"/>
      <c r="S6" s="7"/>
      <c r="T6" s="7"/>
      <c r="U6" s="7"/>
      <c r="V6" s="7"/>
      <c r="W6" s="54"/>
    </row>
    <row r="7" spans="2:23" x14ac:dyDescent="0.25">
      <c r="B7" s="53"/>
      <c r="C7" s="7" t="s">
        <v>1</v>
      </c>
      <c r="D7" s="7"/>
      <c r="E7" s="7"/>
      <c r="F7" s="65">
        <v>4</v>
      </c>
      <c r="G7" s="7"/>
      <c r="H7" s="88" t="s">
        <v>55</v>
      </c>
      <c r="I7" s="88"/>
      <c r="J7" s="88"/>
      <c r="K7" s="54"/>
      <c r="M7" s="102"/>
      <c r="N7" s="103"/>
      <c r="O7" s="103"/>
      <c r="P7" s="104"/>
      <c r="R7" s="75" t="s">
        <v>61</v>
      </c>
      <c r="S7" s="48">
        <f>S5*( 1.046574601*($F$9-3))</f>
        <v>0</v>
      </c>
      <c r="T7" s="48">
        <f>T5*( 1.046574601*($F$9-3))</f>
        <v>0</v>
      </c>
      <c r="U7" s="48">
        <f>U5*( 1.046574601*($F$9-3))</f>
        <v>0</v>
      </c>
      <c r="V7" s="48">
        <f>V5*( 1.046574601*($F$9-3))</f>
        <v>0</v>
      </c>
      <c r="W7" s="76">
        <f>W5*( 1.046574601*($F$9-3))</f>
        <v>0</v>
      </c>
    </row>
    <row r="8" spans="2:23" ht="15.75" thickBot="1" x14ac:dyDescent="0.3">
      <c r="B8" s="53"/>
      <c r="C8" s="7" t="s">
        <v>2</v>
      </c>
      <c r="D8" s="7"/>
      <c r="E8" s="7"/>
      <c r="F8" s="65">
        <v>386</v>
      </c>
      <c r="G8" s="7" t="s">
        <v>6</v>
      </c>
      <c r="H8" s="88"/>
      <c r="I8" s="88"/>
      <c r="J8" s="88"/>
      <c r="K8" s="54"/>
      <c r="M8" s="102"/>
      <c r="N8" s="103"/>
      <c r="O8" s="103"/>
      <c r="P8" s="104"/>
      <c r="R8" s="58"/>
      <c r="S8" s="59"/>
      <c r="T8" s="59"/>
      <c r="U8" s="59"/>
      <c r="V8" s="59"/>
      <c r="W8" s="60"/>
    </row>
    <row r="9" spans="2:23" ht="15.75" thickTop="1" x14ac:dyDescent="0.25">
      <c r="B9" s="53"/>
      <c r="C9" s="7" t="s">
        <v>3</v>
      </c>
      <c r="D9" s="7"/>
      <c r="E9" s="7"/>
      <c r="F9" s="65">
        <v>3</v>
      </c>
      <c r="G9" s="7" t="s">
        <v>5</v>
      </c>
      <c r="H9" s="88"/>
      <c r="I9" s="88"/>
      <c r="J9" s="88"/>
      <c r="K9" s="54"/>
      <c r="M9" s="102"/>
      <c r="N9" s="103"/>
      <c r="O9" s="103"/>
      <c r="P9" s="104"/>
    </row>
    <row r="10" spans="2:23" ht="15.75" thickBot="1" x14ac:dyDescent="0.3">
      <c r="B10" s="58"/>
      <c r="C10" s="59"/>
      <c r="D10" s="59"/>
      <c r="E10" s="59"/>
      <c r="F10" s="59"/>
      <c r="G10" s="59"/>
      <c r="H10" s="59"/>
      <c r="I10" s="59"/>
      <c r="J10" s="59"/>
      <c r="K10" s="60"/>
      <c r="M10" s="105"/>
      <c r="N10" s="106"/>
      <c r="O10" s="106"/>
      <c r="P10" s="107"/>
    </row>
    <row r="11" spans="2:23" ht="16.5" thickTop="1" thickBot="1" x14ac:dyDescent="0.3"/>
    <row r="12" spans="2:23" ht="15.75" thickTop="1" x14ac:dyDescent="0.25">
      <c r="B12" s="50"/>
      <c r="C12" s="51"/>
      <c r="D12" s="51"/>
      <c r="E12" s="51"/>
      <c r="F12" s="51"/>
      <c r="G12" s="51"/>
      <c r="H12" s="51"/>
      <c r="I12" s="51"/>
      <c r="J12" s="51"/>
      <c r="K12" s="51"/>
      <c r="L12" s="51"/>
      <c r="M12" s="51"/>
      <c r="N12" s="51"/>
      <c r="O12" s="51"/>
      <c r="P12" s="51"/>
      <c r="Q12" s="51"/>
      <c r="R12" s="51"/>
      <c r="S12" s="51"/>
      <c r="T12" s="51"/>
      <c r="U12" s="51"/>
      <c r="V12" s="51"/>
      <c r="W12" s="52"/>
    </row>
    <row r="13" spans="2:23" ht="15" customHeight="1" x14ac:dyDescent="0.25">
      <c r="B13" s="53"/>
      <c r="C13" s="63" t="s">
        <v>42</v>
      </c>
      <c r="D13" s="7"/>
      <c r="E13" s="7"/>
      <c r="F13" s="7"/>
      <c r="G13" s="7"/>
      <c r="H13" s="88" t="s">
        <v>50</v>
      </c>
      <c r="I13" s="88"/>
      <c r="J13" s="88"/>
      <c r="K13" s="88"/>
      <c r="L13" s="88"/>
      <c r="M13" s="88"/>
      <c r="N13" s="88"/>
      <c r="O13" s="88"/>
      <c r="P13" s="88"/>
      <c r="Q13" s="88"/>
      <c r="R13" s="7"/>
      <c r="S13" s="7"/>
      <c r="T13" s="7"/>
      <c r="U13" s="7"/>
      <c r="V13" s="7"/>
      <c r="W13" s="54"/>
    </row>
    <row r="14" spans="2:23" x14ac:dyDescent="0.25">
      <c r="B14" s="53"/>
      <c r="C14" s="55" t="s">
        <v>25</v>
      </c>
      <c r="D14" s="7"/>
      <c r="E14" s="7"/>
      <c r="F14" s="65" t="s">
        <v>27</v>
      </c>
      <c r="G14" s="7" t="s">
        <v>26</v>
      </c>
      <c r="H14" s="88"/>
      <c r="I14" s="88"/>
      <c r="J14" s="88"/>
      <c r="K14" s="88"/>
      <c r="L14" s="88"/>
      <c r="M14" s="88"/>
      <c r="N14" s="88"/>
      <c r="O14" s="88"/>
      <c r="P14" s="88"/>
      <c r="Q14" s="88"/>
      <c r="R14" s="7"/>
      <c r="S14" s="7"/>
      <c r="T14" s="7"/>
      <c r="U14" s="7"/>
      <c r="V14" s="7"/>
      <c r="W14" s="54"/>
    </row>
    <row r="15" spans="2:23" x14ac:dyDescent="0.25">
      <c r="B15" s="53"/>
      <c r="C15" s="7" t="s">
        <v>10</v>
      </c>
      <c r="D15" s="7"/>
      <c r="E15" s="7"/>
      <c r="F15" s="65">
        <v>1.4</v>
      </c>
      <c r="G15" s="7" t="s">
        <v>5</v>
      </c>
      <c r="H15" s="88"/>
      <c r="I15" s="88"/>
      <c r="J15" s="88"/>
      <c r="K15" s="88"/>
      <c r="L15" s="88"/>
      <c r="M15" s="88"/>
      <c r="N15" s="88"/>
      <c r="O15" s="88"/>
      <c r="P15" s="88"/>
      <c r="Q15" s="88"/>
      <c r="R15" s="7"/>
      <c r="S15" s="7"/>
      <c r="T15" s="7"/>
      <c r="U15" s="7"/>
      <c r="V15" s="7"/>
      <c r="W15" s="54"/>
    </row>
    <row r="16" spans="2:23" x14ac:dyDescent="0.25">
      <c r="B16" s="53"/>
      <c r="C16" s="7" t="s">
        <v>11</v>
      </c>
      <c r="D16" s="7"/>
      <c r="E16" s="7"/>
      <c r="F16" s="65">
        <v>40</v>
      </c>
      <c r="G16" s="7" t="s">
        <v>12</v>
      </c>
      <c r="H16" s="88"/>
      <c r="I16" s="88"/>
      <c r="J16" s="88"/>
      <c r="K16" s="88"/>
      <c r="L16" s="88"/>
      <c r="M16" s="88"/>
      <c r="N16" s="88"/>
      <c r="O16" s="88"/>
      <c r="P16" s="88"/>
      <c r="Q16" s="88"/>
      <c r="R16" s="7"/>
      <c r="S16" s="7"/>
      <c r="T16" s="7"/>
      <c r="U16" s="7"/>
      <c r="V16" s="7"/>
      <c r="W16" s="54"/>
    </row>
    <row r="17" spans="2:23" x14ac:dyDescent="0.25">
      <c r="B17" s="53"/>
      <c r="C17" s="7" t="s">
        <v>19</v>
      </c>
      <c r="D17" s="7"/>
      <c r="E17" s="7"/>
      <c r="F17" s="65" t="s">
        <v>22</v>
      </c>
      <c r="G17" s="7"/>
      <c r="H17" s="7"/>
      <c r="I17" s="7"/>
      <c r="J17" s="7"/>
      <c r="K17" s="7"/>
      <c r="L17" s="7"/>
      <c r="M17" s="7"/>
      <c r="N17" s="7"/>
      <c r="O17" s="7"/>
      <c r="P17" s="7"/>
      <c r="Q17" s="7"/>
      <c r="R17" s="7"/>
      <c r="S17" s="7"/>
      <c r="T17" s="7"/>
      <c r="U17" s="7"/>
      <c r="V17" s="7"/>
      <c r="W17" s="54"/>
    </row>
    <row r="18" spans="2:23" x14ac:dyDescent="0.25">
      <c r="B18" s="53"/>
      <c r="C18" s="7"/>
      <c r="D18" s="7"/>
      <c r="E18" s="7"/>
      <c r="F18" s="10"/>
      <c r="G18" s="91" t="s">
        <v>13</v>
      </c>
      <c r="H18" s="91"/>
      <c r="I18" s="91"/>
      <c r="J18" s="91"/>
      <c r="K18" s="91"/>
      <c r="L18" s="91"/>
      <c r="M18" s="91"/>
      <c r="N18" s="91"/>
      <c r="O18" s="91"/>
      <c r="P18" s="91"/>
      <c r="Q18" s="91"/>
      <c r="R18" s="91"/>
      <c r="S18" s="91"/>
      <c r="T18" s="91"/>
      <c r="U18" s="91"/>
      <c r="V18" s="91"/>
      <c r="W18" s="54"/>
    </row>
    <row r="19" spans="2:23" x14ac:dyDescent="0.25">
      <c r="B19" s="53"/>
      <c r="C19" s="7"/>
      <c r="D19" s="7"/>
      <c r="E19" s="7"/>
      <c r="F19" s="7"/>
      <c r="G19" s="65">
        <v>600</v>
      </c>
      <c r="H19" s="65">
        <v>800</v>
      </c>
      <c r="I19" s="65">
        <v>1000</v>
      </c>
      <c r="J19" s="65">
        <v>1240</v>
      </c>
      <c r="K19" s="65">
        <v>1520</v>
      </c>
      <c r="L19" s="65">
        <v>1720</v>
      </c>
      <c r="M19" s="65">
        <v>2000</v>
      </c>
      <c r="N19" s="65">
        <v>2520</v>
      </c>
      <c r="O19" s="65">
        <v>3000</v>
      </c>
      <c r="P19" s="65">
        <v>3520</v>
      </c>
      <c r="Q19" s="65">
        <v>4000</v>
      </c>
      <c r="R19" s="65">
        <v>4520</v>
      </c>
      <c r="S19" s="65">
        <v>5000</v>
      </c>
      <c r="T19" s="65">
        <v>5520</v>
      </c>
      <c r="U19" s="65">
        <v>6000</v>
      </c>
      <c r="V19" s="65">
        <v>6800</v>
      </c>
      <c r="W19" s="54"/>
    </row>
    <row r="20" spans="2:23" x14ac:dyDescent="0.25">
      <c r="B20" s="53"/>
      <c r="C20" s="7"/>
      <c r="D20" s="7"/>
      <c r="E20" s="92" t="s">
        <v>14</v>
      </c>
      <c r="F20" s="56">
        <f>IF($F$14="16x16",Weights!$G$4,Weights!$G$5)</f>
        <v>0</v>
      </c>
      <c r="G20" s="8">
        <f>Calc!D6</f>
        <v>0</v>
      </c>
      <c r="H20" s="8">
        <f>Calc!E6</f>
        <v>0</v>
      </c>
      <c r="I20" s="8">
        <f>Calc!F6</f>
        <v>0</v>
      </c>
      <c r="J20" s="8">
        <f>Calc!G6</f>
        <v>0</v>
      </c>
      <c r="K20" s="8">
        <f>Calc!H6</f>
        <v>0</v>
      </c>
      <c r="L20" s="8">
        <f>Calc!I6</f>
        <v>0</v>
      </c>
      <c r="M20" s="8">
        <f>Calc!J6</f>
        <v>0</v>
      </c>
      <c r="N20" s="8">
        <f>Calc!K6</f>
        <v>0</v>
      </c>
      <c r="O20" s="8">
        <f>Calc!L6</f>
        <v>0</v>
      </c>
      <c r="P20" s="8">
        <f>Calc!M6</f>
        <v>0</v>
      </c>
      <c r="Q20" s="8">
        <f>Calc!N6</f>
        <v>0</v>
      </c>
      <c r="R20" s="8">
        <f>Calc!O6</f>
        <v>0</v>
      </c>
      <c r="S20" s="8">
        <f>Calc!P6</f>
        <v>0</v>
      </c>
      <c r="T20" s="8">
        <f>Calc!Q6</f>
        <v>0</v>
      </c>
      <c r="U20" s="8">
        <f>Calc!R6</f>
        <v>0</v>
      </c>
      <c r="V20" s="8">
        <f>Calc!S6</f>
        <v>0</v>
      </c>
      <c r="W20" s="57"/>
    </row>
    <row r="21" spans="2:23" x14ac:dyDescent="0.25">
      <c r="B21" s="53"/>
      <c r="C21" s="7"/>
      <c r="D21" s="7"/>
      <c r="E21" s="92"/>
      <c r="F21" s="56">
        <f>IF($F$14="16x16",Weights!$H$4,Weights!$H$5)</f>
        <v>5</v>
      </c>
      <c r="G21" s="8">
        <f>Calc!D7</f>
        <v>12.04648823529412</v>
      </c>
      <c r="H21" s="8">
        <f>Calc!E7</f>
        <v>12.370017647058825</v>
      </c>
      <c r="I21" s="8">
        <f>Calc!F7</f>
        <v>12.693547058823532</v>
      </c>
      <c r="J21" s="8">
        <f>Calc!G7</f>
        <v>13.081782352941179</v>
      </c>
      <c r="K21" s="8">
        <f>Calc!H7</f>
        <v>13.534723529411767</v>
      </c>
      <c r="L21" s="8">
        <f>Calc!I7</f>
        <v>13.858252941176472</v>
      </c>
      <c r="M21" s="8">
        <f>Calc!J7</f>
        <v>14.311194117647061</v>
      </c>
      <c r="N21" s="8">
        <f>Calc!K7</f>
        <v>15.152370588235295</v>
      </c>
      <c r="O21" s="8">
        <f>Calc!L7</f>
        <v>15.928841176470591</v>
      </c>
      <c r="P21" s="8">
        <f>Calc!M7</f>
        <v>16.770017647058825</v>
      </c>
      <c r="Q21" s="8">
        <f>Calc!N7</f>
        <v>17.54648823529412</v>
      </c>
      <c r="R21" s="8">
        <f>Calc!O7</f>
        <v>18.387664705882354</v>
      </c>
      <c r="S21" s="8">
        <f>Calc!P7</f>
        <v>19.164135294117649</v>
      </c>
      <c r="T21" s="8">
        <f>Calc!Q7</f>
        <v>20.005311764705887</v>
      </c>
      <c r="U21" s="8">
        <f>Calc!R7</f>
        <v>20.781782352941178</v>
      </c>
      <c r="V21" s="8">
        <f>Calc!S7</f>
        <v>22.075900000000004</v>
      </c>
      <c r="W21" s="57"/>
    </row>
    <row r="22" spans="2:23" x14ac:dyDescent="0.25">
      <c r="B22" s="53"/>
      <c r="C22" s="7"/>
      <c r="D22" s="7"/>
      <c r="E22" s="92"/>
      <c r="F22" s="56">
        <f>IF($F$14="16x16",Weights!$I$4,Weights!$I$5)</f>
        <v>10</v>
      </c>
      <c r="G22" s="8">
        <f>Calc!D8</f>
        <v>23.23238823529412</v>
      </c>
      <c r="H22" s="8">
        <f>Calc!E8</f>
        <v>23.555917647058823</v>
      </c>
      <c r="I22" s="8">
        <f>Calc!F8</f>
        <v>23.87944705882353</v>
      </c>
      <c r="J22" s="8">
        <f>Calc!G8</f>
        <v>24.267682352941179</v>
      </c>
      <c r="K22" s="8">
        <f>Calc!H8</f>
        <v>24.720623529411764</v>
      </c>
      <c r="L22" s="8">
        <f>Calc!I8</f>
        <v>25.044152941176474</v>
      </c>
      <c r="M22" s="8">
        <f>Calc!J8</f>
        <v>25.497094117647059</v>
      </c>
      <c r="N22" s="8">
        <f>Calc!K8</f>
        <v>26.338270588235297</v>
      </c>
      <c r="O22" s="8">
        <f>Calc!L8</f>
        <v>27.114741176470591</v>
      </c>
      <c r="P22" s="8">
        <f>Calc!M8</f>
        <v>27.955917647058826</v>
      </c>
      <c r="Q22" s="8">
        <f>Calc!N8</f>
        <v>28.73238823529412</v>
      </c>
      <c r="R22" s="8">
        <f>Calc!O8</f>
        <v>29.573564705882355</v>
      </c>
      <c r="S22" s="8">
        <f>Calc!P8</f>
        <v>30.350035294117646</v>
      </c>
      <c r="T22" s="8">
        <f>Calc!Q8</f>
        <v>31.191211764705884</v>
      </c>
      <c r="U22" s="8">
        <f>Calc!R8</f>
        <v>31.967682352941178</v>
      </c>
      <c r="V22" s="8">
        <f>Calc!S8</f>
        <v>33.261800000000001</v>
      </c>
      <c r="W22" s="57"/>
    </row>
    <row r="23" spans="2:23" x14ac:dyDescent="0.25">
      <c r="B23" s="53"/>
      <c r="C23" s="7"/>
      <c r="D23" s="7"/>
      <c r="E23" s="92"/>
      <c r="F23" s="56">
        <f>IF($F$14="16x16",Weights!$J$4,Weights!$J$5)</f>
        <v>15</v>
      </c>
      <c r="G23" s="8">
        <f>Calc!D9</f>
        <v>34.418288235294114</v>
      </c>
      <c r="H23" s="8">
        <f>Calc!E9</f>
        <v>34.741817647058824</v>
      </c>
      <c r="I23" s="8">
        <f>Calc!F9</f>
        <v>35.065347058823527</v>
      </c>
      <c r="J23" s="8">
        <f>Calc!G9</f>
        <v>35.453582352941176</v>
      </c>
      <c r="K23" s="8">
        <f>Calc!H9</f>
        <v>35.906523529411764</v>
      </c>
      <c r="L23" s="8">
        <f>Calc!I9</f>
        <v>36.230052941176474</v>
      </c>
      <c r="M23" s="8">
        <f>Calc!J9</f>
        <v>36.682994117647056</v>
      </c>
      <c r="N23" s="8">
        <f>Calc!K9</f>
        <v>37.524170588235293</v>
      </c>
      <c r="O23" s="8">
        <f>Calc!L9</f>
        <v>38.300641176470592</v>
      </c>
      <c r="P23" s="8">
        <f>Calc!M9</f>
        <v>39.141817647058829</v>
      </c>
      <c r="Q23" s="8">
        <f>Calc!N9</f>
        <v>39.918288235294121</v>
      </c>
      <c r="R23" s="8">
        <f>Calc!O9</f>
        <v>40.759464705882351</v>
      </c>
      <c r="S23" s="8">
        <f>Calc!P9</f>
        <v>41.535935294117643</v>
      </c>
      <c r="T23" s="8">
        <f>Calc!Q9</f>
        <v>42.37711176470588</v>
      </c>
      <c r="U23" s="8">
        <f>Calc!R9</f>
        <v>43.153582352941179</v>
      </c>
      <c r="V23" s="8">
        <f>Calc!S9</f>
        <v>44.447699999999998</v>
      </c>
      <c r="W23" s="57"/>
    </row>
    <row r="24" spans="2:23" x14ac:dyDescent="0.25">
      <c r="B24" s="53"/>
      <c r="C24" s="7"/>
      <c r="D24" s="7"/>
      <c r="E24" s="92"/>
      <c r="F24" s="56">
        <f>IF($F$14="16x16",Weights!$K$4,Weights!$K$5)</f>
        <v>20</v>
      </c>
      <c r="G24" s="8">
        <f>Calc!D10</f>
        <v>45.604188235294124</v>
      </c>
      <c r="H24" s="8">
        <f>Calc!E10</f>
        <v>45.927717647058834</v>
      </c>
      <c r="I24" s="8">
        <f>Calc!F10</f>
        <v>46.25124705882353</v>
      </c>
      <c r="J24" s="8">
        <f>Calc!G10</f>
        <v>46.639482352941179</v>
      </c>
      <c r="K24" s="8">
        <f>Calc!H10</f>
        <v>47.092423529411768</v>
      </c>
      <c r="L24" s="8">
        <f>Calc!I10</f>
        <v>47.415952941176478</v>
      </c>
      <c r="M24" s="8">
        <f>Calc!J10</f>
        <v>47.868894117647066</v>
      </c>
      <c r="N24" s="8">
        <f>Calc!K10</f>
        <v>48.710070588235297</v>
      </c>
      <c r="O24" s="8">
        <f>Calc!L10</f>
        <v>49.486541176470595</v>
      </c>
      <c r="P24" s="8">
        <f>Calc!M10</f>
        <v>50.327717647058833</v>
      </c>
      <c r="Q24" s="8">
        <f>Calc!N10</f>
        <v>51.104188235294124</v>
      </c>
      <c r="R24" s="8">
        <f>Calc!O10</f>
        <v>51.945364705882362</v>
      </c>
      <c r="S24" s="8">
        <f>Calc!P10</f>
        <v>52.721835294117653</v>
      </c>
      <c r="T24" s="8">
        <f>Calc!Q10</f>
        <v>53.563011764705884</v>
      </c>
      <c r="U24" s="8">
        <f>Calc!R10</f>
        <v>54.339482352941175</v>
      </c>
      <c r="V24" s="8">
        <f>Calc!S10</f>
        <v>55.633600000000008</v>
      </c>
      <c r="W24" s="57"/>
    </row>
    <row r="25" spans="2:23" x14ac:dyDescent="0.25">
      <c r="B25" s="53"/>
      <c r="C25" s="7"/>
      <c r="D25" s="7"/>
      <c r="E25" s="92"/>
      <c r="F25" s="56">
        <f>IF($F$14="16x16",Weights!$L$4,Weights!$L$5)</f>
        <v>25</v>
      </c>
      <c r="G25" s="8">
        <f>Calc!D11</f>
        <v>56.790088235294121</v>
      </c>
      <c r="H25" s="8">
        <f>Calc!E11</f>
        <v>57.113617647058831</v>
      </c>
      <c r="I25" s="8">
        <f>Calc!F11</f>
        <v>57.437147058823527</v>
      </c>
      <c r="J25" s="8">
        <f>Calc!G11</f>
        <v>57.825382352941176</v>
      </c>
      <c r="K25" s="8">
        <f>Calc!H11</f>
        <v>58.278323529411765</v>
      </c>
      <c r="L25" s="8">
        <f>Calc!I11</f>
        <v>58.601852941176475</v>
      </c>
      <c r="M25" s="8">
        <f>Calc!J11</f>
        <v>59.054794117647063</v>
      </c>
      <c r="N25" s="8">
        <f>Calc!K11</f>
        <v>59.895970588235294</v>
      </c>
      <c r="O25" s="8">
        <f>Calc!L11</f>
        <v>60.672441176470592</v>
      </c>
      <c r="P25" s="8">
        <f>Calc!M11</f>
        <v>61.51361764705883</v>
      </c>
      <c r="Q25" s="8">
        <f>Calc!N11</f>
        <v>62.290088235294121</v>
      </c>
      <c r="R25" s="8">
        <f>Calc!O11</f>
        <v>63.131264705882359</v>
      </c>
      <c r="S25" s="8">
        <f>Calc!P11</f>
        <v>63.90773529411765</v>
      </c>
      <c r="T25" s="8">
        <f>Calc!Q11</f>
        <v>64.748911764705881</v>
      </c>
      <c r="U25" s="8">
        <f>Calc!R11</f>
        <v>65.525382352941179</v>
      </c>
      <c r="V25" s="8">
        <f>Calc!S11</f>
        <v>66.819500000000005</v>
      </c>
      <c r="W25" s="57"/>
    </row>
    <row r="26" spans="2:23" x14ac:dyDescent="0.25">
      <c r="B26" s="53"/>
      <c r="C26" s="7"/>
      <c r="D26" s="7"/>
      <c r="E26" s="92"/>
      <c r="F26" s="56">
        <f>IF($F$14="16x16",Weights!$M$4,Weights!$M$5)</f>
        <v>30</v>
      </c>
      <c r="G26" s="8">
        <f>Calc!D12</f>
        <v>67.97598823529411</v>
      </c>
      <c r="H26" s="8">
        <f>Calc!E12</f>
        <v>68.299517647058821</v>
      </c>
      <c r="I26" s="8">
        <f>Calc!F12</f>
        <v>68.623047058823531</v>
      </c>
      <c r="J26" s="8">
        <f>Calc!G12</f>
        <v>69.011282352941166</v>
      </c>
      <c r="K26" s="8">
        <f>Calc!H12</f>
        <v>69.464223529411768</v>
      </c>
      <c r="L26" s="8">
        <f>Calc!I12</f>
        <v>69.787752941176478</v>
      </c>
      <c r="M26" s="8">
        <f>Calc!J12</f>
        <v>70.240694117647067</v>
      </c>
      <c r="N26" s="8">
        <f>Calc!K12</f>
        <v>71.081870588235304</v>
      </c>
      <c r="O26" s="8">
        <f>Calc!L12</f>
        <v>71.858341176470589</v>
      </c>
      <c r="P26" s="8">
        <f>Calc!M12</f>
        <v>72.699517647058826</v>
      </c>
      <c r="Q26" s="8">
        <f>Calc!N12</f>
        <v>73.475988235294125</v>
      </c>
      <c r="R26" s="8">
        <f>Calc!O12</f>
        <v>74.317164705882348</v>
      </c>
      <c r="S26" s="8">
        <f>Calc!P12</f>
        <v>75.093635294117647</v>
      </c>
      <c r="T26" s="8">
        <f>Calc!Q12</f>
        <v>75.934811764705884</v>
      </c>
      <c r="U26" s="8">
        <f>Calc!R12</f>
        <v>76.711282352941168</v>
      </c>
      <c r="V26" s="8">
        <f>Calc!S12</f>
        <v>78.005399999999995</v>
      </c>
      <c r="W26" s="57"/>
    </row>
    <row r="27" spans="2:23" x14ac:dyDescent="0.25">
      <c r="B27" s="53"/>
      <c r="C27" s="7"/>
      <c r="D27" s="7"/>
      <c r="E27" s="92"/>
      <c r="F27" s="56">
        <f>IF($F$14="16x16",Weights!$N$4,Weights!$N$5)</f>
        <v>35</v>
      </c>
      <c r="G27" s="8">
        <f>Calc!D13</f>
        <v>79.161888235294114</v>
      </c>
      <c r="H27" s="8">
        <f>Calc!E13</f>
        <v>79.485417647058824</v>
      </c>
      <c r="I27" s="8">
        <f>Calc!F13</f>
        <v>79.808947058823534</v>
      </c>
      <c r="J27" s="8">
        <f>Calc!G13</f>
        <v>80.197182352941184</v>
      </c>
      <c r="K27" s="8">
        <f>Calc!H13</f>
        <v>80.650123529411772</v>
      </c>
      <c r="L27" s="8">
        <f>Calc!I13</f>
        <v>80.973652941176482</v>
      </c>
      <c r="M27" s="8">
        <f>Calc!J13</f>
        <v>81.426594117647056</v>
      </c>
      <c r="N27" s="8">
        <f>Calc!K13</f>
        <v>82.267770588235294</v>
      </c>
      <c r="O27" s="8">
        <f>Calc!L13</f>
        <v>83.044241176470592</v>
      </c>
      <c r="P27" s="8">
        <f>Calc!M13</f>
        <v>83.88541764705883</v>
      </c>
      <c r="Q27" s="8">
        <f>Calc!N13</f>
        <v>84.661888235294114</v>
      </c>
      <c r="R27" s="8">
        <f>Calc!O13</f>
        <v>85.503064705882352</v>
      </c>
      <c r="S27" s="8">
        <f>Calc!P13</f>
        <v>86.279535294117665</v>
      </c>
      <c r="T27" s="8">
        <f>Calc!Q13</f>
        <v>87.120711764705888</v>
      </c>
      <c r="U27" s="8">
        <f>Calc!R13</f>
        <v>87.897182352941186</v>
      </c>
      <c r="V27" s="8">
        <f>Calc!S13</f>
        <v>89.191300000000012</v>
      </c>
      <c r="W27" s="57"/>
    </row>
    <row r="28" spans="2:23" x14ac:dyDescent="0.25">
      <c r="B28" s="53"/>
      <c r="C28" s="7"/>
      <c r="D28" s="7"/>
      <c r="E28" s="92"/>
      <c r="F28" s="56">
        <f>IF($F$14="16x16",Weights!$O$4,Weights!$O$5)</f>
        <v>40</v>
      </c>
      <c r="G28" s="8">
        <f>Calc!D14</f>
        <v>90.347788235294132</v>
      </c>
      <c r="H28" s="8">
        <f>Calc!E14</f>
        <v>90.671317647058842</v>
      </c>
      <c r="I28" s="8">
        <f>Calc!F14</f>
        <v>90.994847058823552</v>
      </c>
      <c r="J28" s="8">
        <f>Calc!G14</f>
        <v>91.383082352941202</v>
      </c>
      <c r="K28" s="8">
        <f>Calc!H14</f>
        <v>91.836023529411776</v>
      </c>
      <c r="L28" s="8">
        <f>Calc!I14</f>
        <v>92.159552941176486</v>
      </c>
      <c r="M28" s="8">
        <f>Calc!J14</f>
        <v>92.612494117647074</v>
      </c>
      <c r="N28" s="8">
        <f>Calc!K14</f>
        <v>93.453670588235312</v>
      </c>
      <c r="O28" s="8">
        <f>Calc!L14</f>
        <v>94.230141176470596</v>
      </c>
      <c r="P28" s="8">
        <f>Calc!M14</f>
        <v>95.071317647058834</v>
      </c>
      <c r="Q28" s="8">
        <f>Calc!N14</f>
        <v>95.847788235294132</v>
      </c>
      <c r="R28" s="8">
        <f>Calc!O14</f>
        <v>96.68896470588237</v>
      </c>
      <c r="S28" s="8">
        <f>Calc!P14</f>
        <v>97.465435294117668</v>
      </c>
      <c r="T28" s="8">
        <f>Calc!Q14</f>
        <v>98.306611764705906</v>
      </c>
      <c r="U28" s="8">
        <f>Calc!R14</f>
        <v>99.083082352941204</v>
      </c>
      <c r="V28" s="8">
        <f>Calc!S14</f>
        <v>100.37720000000002</v>
      </c>
      <c r="W28" s="57"/>
    </row>
    <row r="29" spans="2:23" x14ac:dyDescent="0.25">
      <c r="B29" s="53"/>
      <c r="C29" s="7"/>
      <c r="D29" s="7"/>
      <c r="E29" s="92"/>
      <c r="F29" s="56">
        <f>IF($F$14="16x16",Weights!$P$4,Weights!$P$5)</f>
        <v>50</v>
      </c>
      <c r="G29" s="8">
        <f>Calc!D15</f>
        <v>112.71958823529413</v>
      </c>
      <c r="H29" s="8">
        <f>Calc!E15</f>
        <v>113.04311764705884</v>
      </c>
      <c r="I29" s="8">
        <f>Calc!F15</f>
        <v>113.36664705882355</v>
      </c>
      <c r="J29" s="8">
        <f>Calc!G15</f>
        <v>113.75488235294119</v>
      </c>
      <c r="K29" s="8">
        <f>Calc!H15</f>
        <v>114.20782352941178</v>
      </c>
      <c r="L29" s="8">
        <f>Calc!I15</f>
        <v>114.53135294117648</v>
      </c>
      <c r="M29" s="8">
        <f>Calc!J15</f>
        <v>114.98429411764707</v>
      </c>
      <c r="N29" s="8">
        <f>Calc!K15</f>
        <v>115.82547058823531</v>
      </c>
      <c r="O29" s="8">
        <f>Calc!L15</f>
        <v>116.60194117647059</v>
      </c>
      <c r="P29" s="8">
        <f>Calc!M15</f>
        <v>117.44311764705883</v>
      </c>
      <c r="Q29" s="8">
        <f>Calc!N15</f>
        <v>118.21958823529413</v>
      </c>
      <c r="R29" s="8">
        <f>Calc!O15</f>
        <v>119.06076470588236</v>
      </c>
      <c r="S29" s="8">
        <f>Calc!P15</f>
        <v>119.83723529411766</v>
      </c>
      <c r="T29" s="8">
        <f>Calc!Q15</f>
        <v>120.6784117647059</v>
      </c>
      <c r="U29" s="8">
        <f>Calc!R15</f>
        <v>121.4548823529412</v>
      </c>
      <c r="V29" s="8">
        <f>Calc!S15</f>
        <v>122.74900000000001</v>
      </c>
      <c r="W29" s="57"/>
    </row>
    <row r="30" spans="2:23" x14ac:dyDescent="0.25">
      <c r="B30" s="53"/>
      <c r="C30" s="7"/>
      <c r="D30" s="7"/>
      <c r="E30" s="92"/>
      <c r="F30" s="56">
        <f>IF($F$14="16x16",Weights!$Q$4,Weights!$Q$5)</f>
        <v>60</v>
      </c>
      <c r="G30" s="8">
        <f>Calc!D16</f>
        <v>135.09138823529412</v>
      </c>
      <c r="H30" s="8">
        <f>Calc!E16</f>
        <v>135.41491764705881</v>
      </c>
      <c r="I30" s="8">
        <f>Calc!F16</f>
        <v>135.73844705882354</v>
      </c>
      <c r="J30" s="8">
        <f>Calc!G16</f>
        <v>136.1266823529412</v>
      </c>
      <c r="K30" s="8">
        <f>Calc!H16</f>
        <v>136.57962352941178</v>
      </c>
      <c r="L30" s="8">
        <f>Calc!I16</f>
        <v>136.90315294117647</v>
      </c>
      <c r="M30" s="8">
        <f>Calc!J16</f>
        <v>137.35609411764707</v>
      </c>
      <c r="N30" s="8">
        <f>Calc!K16</f>
        <v>138.19727058823531</v>
      </c>
      <c r="O30" s="8">
        <f>Calc!L16</f>
        <v>138.97374117647058</v>
      </c>
      <c r="P30" s="8">
        <f>Calc!M16</f>
        <v>139.81491764705882</v>
      </c>
      <c r="Q30" s="8">
        <f>Calc!N16</f>
        <v>140.59138823529412</v>
      </c>
      <c r="R30" s="8">
        <f>Calc!O16</f>
        <v>141.43256470588238</v>
      </c>
      <c r="S30" s="8">
        <f>Calc!P16</f>
        <v>142.20903529411765</v>
      </c>
      <c r="T30" s="8">
        <f>Calc!Q16</f>
        <v>143.05021176470589</v>
      </c>
      <c r="U30" s="8">
        <f>Calc!R16</f>
        <v>143.82668235294116</v>
      </c>
      <c r="V30" s="8">
        <f>Calc!S16</f>
        <v>145.1208</v>
      </c>
      <c r="W30" s="57"/>
    </row>
    <row r="31" spans="2:23" x14ac:dyDescent="0.25">
      <c r="B31" s="53"/>
      <c r="C31" s="7"/>
      <c r="D31" s="7"/>
      <c r="E31" s="92"/>
      <c r="F31" s="56">
        <f>IF($F$14="16x16",Weights!$R$4,Weights!$R$5)</f>
        <v>70</v>
      </c>
      <c r="G31" s="8">
        <f>Calc!D17</f>
        <v>157.46318823529413</v>
      </c>
      <c r="H31" s="8">
        <f>Calc!E17</f>
        <v>157.78671764705885</v>
      </c>
      <c r="I31" s="8">
        <f>Calc!F17</f>
        <v>158.11024705882352</v>
      </c>
      <c r="J31" s="8">
        <f>Calc!G17</f>
        <v>158.49848235294118</v>
      </c>
      <c r="K31" s="8">
        <f>Calc!H17</f>
        <v>158.95142352941178</v>
      </c>
      <c r="L31" s="8">
        <f>Calc!I17</f>
        <v>159.27495294117648</v>
      </c>
      <c r="M31" s="8">
        <f>Calc!J17</f>
        <v>159.72789411764705</v>
      </c>
      <c r="N31" s="8">
        <f>Calc!K17</f>
        <v>160.56907058823532</v>
      </c>
      <c r="O31" s="8">
        <f>Calc!L17</f>
        <v>161.34554117647059</v>
      </c>
      <c r="P31" s="8">
        <f>Calc!M17</f>
        <v>162.18671764705883</v>
      </c>
      <c r="Q31" s="8">
        <f>Calc!N17</f>
        <v>162.96318823529413</v>
      </c>
      <c r="R31" s="8">
        <f>Calc!O17</f>
        <v>163.80436470588236</v>
      </c>
      <c r="S31" s="8">
        <f>Calc!P17</f>
        <v>164.58083529411763</v>
      </c>
      <c r="T31" s="8">
        <f>Calc!Q17</f>
        <v>165.4220117647059</v>
      </c>
      <c r="U31" s="8">
        <f>Calc!R17</f>
        <v>166.19848235294117</v>
      </c>
      <c r="V31" s="8">
        <f>Calc!S17</f>
        <v>167.49260000000001</v>
      </c>
      <c r="W31" s="57"/>
    </row>
    <row r="32" spans="2:23" x14ac:dyDescent="0.25">
      <c r="B32" s="53"/>
      <c r="C32" s="7"/>
      <c r="D32" s="7"/>
      <c r="E32" s="92"/>
      <c r="F32" s="56">
        <f>IF($F$14="16x16",Weights!$S$4,Weights!$S$5)</f>
        <v>75</v>
      </c>
      <c r="G32" s="8">
        <f>IF($F32=" ", " ",Calc!D18)</f>
        <v>168.64908823529413</v>
      </c>
      <c r="H32" s="8">
        <f>IF($F32=" ", " ",Calc!E18)</f>
        <v>168.97261764705885</v>
      </c>
      <c r="I32" s="8">
        <f>IF($F32=" ", " ",Calc!F18)</f>
        <v>169.29614705882355</v>
      </c>
      <c r="J32" s="8">
        <f>IF($F32=" ", " ",Calc!G18)</f>
        <v>169.68438235294118</v>
      </c>
      <c r="K32" s="8">
        <f>IF($F32=" ", " ",Calc!H18)</f>
        <v>170.13732352941179</v>
      </c>
      <c r="L32" s="8">
        <f>IF($F32=" ", " ",Calc!I18)</f>
        <v>170.46085294117648</v>
      </c>
      <c r="M32" s="8">
        <f>IF($F32=" ", " ",Calc!J18)</f>
        <v>170.91379411764706</v>
      </c>
      <c r="N32" s="8">
        <f>IF($F32=" ", " ",Calc!K18)</f>
        <v>171.75497058823532</v>
      </c>
      <c r="O32" s="8">
        <f>IF($F32=" ", " ",Calc!L18)</f>
        <v>172.53144117647059</v>
      </c>
      <c r="P32" s="8">
        <f>IF($F32=" ", " ",Calc!M18)</f>
        <v>173.37261764705886</v>
      </c>
      <c r="Q32" s="8">
        <f>IF($F32=" ", " ",Calc!N18)</f>
        <v>174.14908823529413</v>
      </c>
      <c r="R32" s="8">
        <f>IF($F32=" ", " ",Calc!O18)</f>
        <v>174.99026470588237</v>
      </c>
      <c r="S32" s="8">
        <f>IF($F32=" ", " ",Calc!P18)</f>
        <v>175.76673529411767</v>
      </c>
      <c r="T32" s="8">
        <f>IF($F32=" ", " ",Calc!Q18)</f>
        <v>176.6079117647059</v>
      </c>
      <c r="U32" s="8">
        <f>IF($F32=" ", " ",Calc!R18)</f>
        <v>177.38438235294117</v>
      </c>
      <c r="V32" s="8">
        <f>IF($F32=" ", " ",Calc!S18)</f>
        <v>178.67850000000001</v>
      </c>
      <c r="W32" s="57"/>
    </row>
    <row r="33" spans="2:23" x14ac:dyDescent="0.25">
      <c r="B33" s="53"/>
      <c r="C33" s="7"/>
      <c r="D33" s="7"/>
      <c r="E33" s="92"/>
      <c r="F33" s="56">
        <f>IF($F$14="16x16",Weights!$T$4,Weights!$T$5)</f>
        <v>80</v>
      </c>
      <c r="G33" s="8">
        <f>IF($F33=" ", " ",Calc!D19)</f>
        <v>179.83498823529413</v>
      </c>
      <c r="H33" s="8">
        <f>IF($F33=" ", " ",Calc!E19)</f>
        <v>180.15851764705886</v>
      </c>
      <c r="I33" s="8">
        <f>IF($F33=" ", " ",Calc!F19)</f>
        <v>180.48204705882355</v>
      </c>
      <c r="J33" s="8">
        <f>IF($F33=" ", " ",Calc!G19)</f>
        <v>180.87028235294119</v>
      </c>
      <c r="K33" s="8">
        <f>IF($F33=" ", " ",Calc!H19)</f>
        <v>181.32322352941182</v>
      </c>
      <c r="L33" s="8">
        <f>IF($F33=" ", " ",Calc!I19)</f>
        <v>181.64675294117652</v>
      </c>
      <c r="M33" s="8">
        <f>IF($F33=" ", " ",Calc!J19)</f>
        <v>182.09969411764709</v>
      </c>
      <c r="N33" s="8">
        <f>IF($F33=" ", " ",Calc!K19)</f>
        <v>182.94087058823533</v>
      </c>
      <c r="O33" s="8">
        <f>IF($F33=" ", " ",Calc!L19)</f>
        <v>183.71734117647063</v>
      </c>
      <c r="P33" s="8">
        <f>IF($F33=" ", " ",Calc!M19)</f>
        <v>184.55851764705886</v>
      </c>
      <c r="Q33" s="8">
        <f>IF($F33=" ", " ",Calc!N19)</f>
        <v>185.33498823529413</v>
      </c>
      <c r="R33" s="8">
        <f>IF($F33=" ", " ",Calc!O19)</f>
        <v>186.1761647058824</v>
      </c>
      <c r="S33" s="8">
        <f>IF($F33=" ", " ",Calc!P19)</f>
        <v>186.95263529411767</v>
      </c>
      <c r="T33" s="8">
        <f>IF($F33=" ", " ",Calc!Q19)</f>
        <v>187.79381176470591</v>
      </c>
      <c r="U33" s="8">
        <f>IF($F33=" ", " ",Calc!R19)</f>
        <v>188.57028235294121</v>
      </c>
      <c r="V33" s="8">
        <f>IF($F33=" ", " ",Calc!S19)</f>
        <v>189.86440000000002</v>
      </c>
      <c r="W33" s="57"/>
    </row>
    <row r="34" spans="2:23" x14ac:dyDescent="0.25">
      <c r="B34" s="53"/>
      <c r="C34" s="7"/>
      <c r="D34" s="7"/>
      <c r="E34" s="92"/>
      <c r="F34" s="56">
        <f>IF($F$14="16x16",Weights!$U$4,Weights!$U$5)</f>
        <v>85</v>
      </c>
      <c r="G34" s="8">
        <f>IF($F34=" ", " ",Calc!D20)</f>
        <v>191.02088823529411</v>
      </c>
      <c r="H34" s="8">
        <f>IF($F34=" ", " ",Calc!E20)</f>
        <v>191.34441764705883</v>
      </c>
      <c r="I34" s="8">
        <f>IF($F34=" ", " ",Calc!F20)</f>
        <v>191.66794705882353</v>
      </c>
      <c r="J34" s="8">
        <f>IF($F34=" ", " ",Calc!G20)</f>
        <v>192.05618235294116</v>
      </c>
      <c r="K34" s="8">
        <f>IF($F34=" ", " ",Calc!H20)</f>
        <v>192.5091235294118</v>
      </c>
      <c r="L34" s="8">
        <f>IF($F34=" ", " ",Calc!I20)</f>
        <v>192.83265294117649</v>
      </c>
      <c r="M34" s="8">
        <f>IF($F34=" ", " ",Calc!J20)</f>
        <v>193.28559411764707</v>
      </c>
      <c r="N34" s="8">
        <f>IF($F34=" ", " ",Calc!K20)</f>
        <v>194.12677058823533</v>
      </c>
      <c r="O34" s="8">
        <f>IF($F34=" ", " ",Calc!L20)</f>
        <v>194.9032411764706</v>
      </c>
      <c r="P34" s="8">
        <f>IF($F34=" ", " ",Calc!M20)</f>
        <v>195.74441764705884</v>
      </c>
      <c r="Q34" s="8">
        <f>IF($F34=" ", " ",Calc!N20)</f>
        <v>196.52088823529411</v>
      </c>
      <c r="R34" s="8">
        <f>IF($F34=" ", " ",Calc!O20)</f>
        <v>197.36206470588237</v>
      </c>
      <c r="S34" s="8">
        <f>IF($F34=" ", " ",Calc!P20)</f>
        <v>198.13853529411764</v>
      </c>
      <c r="T34" s="8">
        <f>IF($F34=" ", " ",Calc!Q20)</f>
        <v>198.97971176470591</v>
      </c>
      <c r="U34" s="8">
        <f>IF($F34=" ", " ",Calc!R20)</f>
        <v>199.75618235294118</v>
      </c>
      <c r="V34" s="8">
        <f>IF($F34=" ", " ",Calc!S20)</f>
        <v>201.05030000000002</v>
      </c>
      <c r="W34" s="57"/>
    </row>
    <row r="35" spans="2:23" x14ac:dyDescent="0.25">
      <c r="B35" s="53"/>
      <c r="C35" s="7"/>
      <c r="D35" s="7"/>
      <c r="E35" s="92"/>
      <c r="F35" s="56">
        <f>IF($F$14="16x16",Weights!$V$4,Weights!$V$5)</f>
        <v>100</v>
      </c>
      <c r="G35" s="8">
        <f>IF($F35=" ", " ",Calc!D21)</f>
        <v>224.57858823529412</v>
      </c>
      <c r="H35" s="8">
        <f>IF($F35=" ", " ",Calc!E21)</f>
        <v>224.90211764705884</v>
      </c>
      <c r="I35" s="8">
        <f>IF($F35=" ", " ",Calc!F21)</f>
        <v>225.22564705882354</v>
      </c>
      <c r="J35" s="8">
        <f>IF($F35=" ", " ",Calc!G21)</f>
        <v>225.61388235294118</v>
      </c>
      <c r="K35" s="8">
        <f>IF($F35=" ", " ",Calc!H21)</f>
        <v>226.06682352941181</v>
      </c>
      <c r="L35" s="8">
        <f>IF($F35=" ", " ",Calc!I21)</f>
        <v>226.3903529411765</v>
      </c>
      <c r="M35" s="8">
        <f>IF($F35=" ", " ",Calc!J21)</f>
        <v>226.84329411764708</v>
      </c>
      <c r="N35" s="8">
        <f>IF($F35=" ", " ",Calc!K21)</f>
        <v>227.68447058823531</v>
      </c>
      <c r="O35" s="8">
        <f>IF($F35=" ", " ",Calc!L21)</f>
        <v>228.46094117647061</v>
      </c>
      <c r="P35" s="8">
        <f>IF($F35=" ", " ",Calc!M21)</f>
        <v>229.30211764705885</v>
      </c>
      <c r="Q35" s="8">
        <f>IF($F35=" ", " ",Calc!N21)</f>
        <v>230.07858823529412</v>
      </c>
      <c r="R35" s="8">
        <f>IF($F35=" ", " ",Calc!O21)</f>
        <v>230.91976470588239</v>
      </c>
      <c r="S35" s="8">
        <f>IF($F35=" ", " ",Calc!P21)</f>
        <v>231.69623529411766</v>
      </c>
      <c r="T35" s="8">
        <f>IF($F35=" ", " ",Calc!Q21)</f>
        <v>232.53741176470592</v>
      </c>
      <c r="U35" s="8">
        <f>IF($F35=" ", " ",Calc!R21)</f>
        <v>233.31388235294119</v>
      </c>
      <c r="V35" s="8">
        <f>IF($F35=" ", " ",Calc!S21)</f>
        <v>234.60800000000003</v>
      </c>
      <c r="W35" s="57"/>
    </row>
    <row r="36" spans="2:23" ht="15.75" thickBot="1" x14ac:dyDescent="0.3">
      <c r="B36" s="53"/>
      <c r="C36" s="7"/>
      <c r="D36" s="7" t="s">
        <v>48</v>
      </c>
      <c r="E36" s="7"/>
      <c r="F36" s="7"/>
      <c r="G36" s="7"/>
      <c r="H36" s="7"/>
      <c r="I36" s="7"/>
      <c r="J36" s="7"/>
      <c r="K36" s="7"/>
      <c r="L36" s="7"/>
      <c r="M36" s="7"/>
      <c r="N36" s="7"/>
      <c r="O36" s="7"/>
      <c r="P36" s="7"/>
      <c r="Q36" s="7"/>
      <c r="R36" s="7"/>
      <c r="S36" s="7"/>
      <c r="T36" s="7"/>
      <c r="U36" s="7"/>
      <c r="V36" s="7"/>
      <c r="W36" s="54"/>
    </row>
    <row r="37" spans="2:23" ht="15.75" thickBot="1" x14ac:dyDescent="0.3">
      <c r="B37" s="58"/>
      <c r="C37" s="59"/>
      <c r="D37" s="98" t="s">
        <v>49</v>
      </c>
      <c r="E37" s="99"/>
      <c r="F37" s="100"/>
      <c r="G37" s="62">
        <f>((10*(MAX(G20:G35))+300)-1000)/1000</f>
        <v>1.5457858823529413</v>
      </c>
      <c r="H37" s="62">
        <f t="shared" ref="H37:V37" si="0">((10*(MAX(H20:H35))+300)-1000)/1000</f>
        <v>1.5490211764705881</v>
      </c>
      <c r="I37" s="62">
        <f t="shared" si="0"/>
        <v>1.5522564705882356</v>
      </c>
      <c r="J37" s="62">
        <f t="shared" si="0"/>
        <v>1.5561388235294116</v>
      </c>
      <c r="K37" s="62">
        <f t="shared" si="0"/>
        <v>1.5606682352941179</v>
      </c>
      <c r="L37" s="62">
        <f t="shared" si="0"/>
        <v>1.5639035294117647</v>
      </c>
      <c r="M37" s="62">
        <f t="shared" si="0"/>
        <v>1.5684329411764706</v>
      </c>
      <c r="N37" s="62">
        <f t="shared" si="0"/>
        <v>1.5768447058823531</v>
      </c>
      <c r="O37" s="62">
        <f t="shared" si="0"/>
        <v>1.5846094117647063</v>
      </c>
      <c r="P37" s="62">
        <f t="shared" si="0"/>
        <v>1.5930211764705886</v>
      </c>
      <c r="Q37" s="62">
        <f t="shared" si="0"/>
        <v>1.6007858823529413</v>
      </c>
      <c r="R37" s="62">
        <f t="shared" si="0"/>
        <v>1.6091976470588238</v>
      </c>
      <c r="S37" s="62">
        <f t="shared" si="0"/>
        <v>1.6169623529411765</v>
      </c>
      <c r="T37" s="62">
        <f t="shared" si="0"/>
        <v>1.6253741176470593</v>
      </c>
      <c r="U37" s="62">
        <f t="shared" si="0"/>
        <v>1.6331388235294122</v>
      </c>
      <c r="V37" s="62">
        <f t="shared" si="0"/>
        <v>1.6460800000000004</v>
      </c>
      <c r="W37" s="60"/>
    </row>
    <row r="38" spans="2:23" ht="16.5" thickTop="1" thickBot="1" x14ac:dyDescent="0.3"/>
    <row r="39" spans="2:23" ht="15.75" thickTop="1" x14ac:dyDescent="0.25">
      <c r="B39" s="50"/>
      <c r="C39" s="51"/>
      <c r="D39" s="51"/>
      <c r="E39" s="51"/>
      <c r="F39" s="51"/>
      <c r="G39" s="51"/>
      <c r="H39" s="51"/>
      <c r="I39" s="51"/>
      <c r="J39" s="51"/>
      <c r="K39" s="51"/>
      <c r="L39" s="51"/>
      <c r="M39" s="51"/>
      <c r="N39" s="51"/>
      <c r="O39" s="51"/>
      <c r="P39" s="51"/>
      <c r="Q39" s="51"/>
      <c r="R39" s="51"/>
      <c r="S39" s="51"/>
      <c r="T39" s="51"/>
      <c r="U39" s="51"/>
      <c r="V39" s="52"/>
    </row>
    <row r="40" spans="2:23" x14ac:dyDescent="0.25">
      <c r="B40" s="53"/>
      <c r="C40" s="47" t="s">
        <v>24</v>
      </c>
      <c r="D40" s="7"/>
      <c r="E40" s="7"/>
      <c r="F40" s="7"/>
      <c r="G40" s="89" t="s">
        <v>37</v>
      </c>
      <c r="H40" s="89"/>
      <c r="I40" s="89"/>
      <c r="J40" s="89"/>
      <c r="K40" s="89"/>
      <c r="L40" s="89"/>
      <c r="M40" s="89"/>
      <c r="N40" s="89"/>
      <c r="O40" s="89"/>
      <c r="P40" s="89"/>
      <c r="Q40" s="89"/>
      <c r="R40" s="7"/>
      <c r="S40" s="7"/>
      <c r="T40" s="7"/>
      <c r="U40" s="7"/>
      <c r="V40" s="54"/>
    </row>
    <row r="41" spans="2:23" x14ac:dyDescent="0.25">
      <c r="B41" s="53"/>
      <c r="C41" s="7" t="s">
        <v>31</v>
      </c>
      <c r="D41" s="7"/>
      <c r="E41" s="7"/>
      <c r="F41" s="7"/>
      <c r="G41" s="65">
        <v>0</v>
      </c>
      <c r="H41" s="65">
        <v>10</v>
      </c>
      <c r="I41" s="65">
        <v>20</v>
      </c>
      <c r="J41" s="65">
        <v>30</v>
      </c>
      <c r="K41" s="65">
        <v>50</v>
      </c>
      <c r="L41" s="65">
        <v>70</v>
      </c>
      <c r="M41" s="65">
        <v>95</v>
      </c>
      <c r="N41" s="65">
        <v>125</v>
      </c>
      <c r="O41" s="65">
        <v>155</v>
      </c>
      <c r="P41" s="65">
        <v>175</v>
      </c>
      <c r="Q41" s="65">
        <v>190</v>
      </c>
      <c r="R41" s="7" t="s">
        <v>32</v>
      </c>
      <c r="S41" s="7"/>
      <c r="T41" s="7"/>
      <c r="U41" s="7"/>
      <c r="V41" s="54"/>
    </row>
    <row r="42" spans="2:23" x14ac:dyDescent="0.25">
      <c r="B42" s="53"/>
      <c r="C42" s="7"/>
      <c r="D42" s="7"/>
      <c r="E42" s="7"/>
      <c r="F42" s="7"/>
      <c r="G42" s="49">
        <v>33</v>
      </c>
      <c r="H42" s="49">
        <v>44</v>
      </c>
      <c r="I42" s="49">
        <v>56</v>
      </c>
      <c r="J42" s="49">
        <v>67</v>
      </c>
      <c r="K42" s="49">
        <v>78</v>
      </c>
      <c r="L42" s="49">
        <v>89</v>
      </c>
      <c r="M42" s="49">
        <v>123</v>
      </c>
      <c r="N42" s="49">
        <v>145</v>
      </c>
      <c r="O42" s="49">
        <v>167</v>
      </c>
      <c r="P42" s="49">
        <v>190</v>
      </c>
      <c r="Q42" s="49">
        <v>235</v>
      </c>
      <c r="R42" s="7" t="s">
        <v>51</v>
      </c>
      <c r="S42" s="7"/>
      <c r="T42" s="7"/>
      <c r="U42" s="7"/>
      <c r="V42" s="54"/>
    </row>
    <row r="43" spans="2:23" x14ac:dyDescent="0.25">
      <c r="B43" s="53"/>
      <c r="C43" s="7"/>
      <c r="D43" s="7"/>
      <c r="E43" s="90" t="s">
        <v>13</v>
      </c>
      <c r="F43" s="48">
        <f>G19</f>
        <v>600</v>
      </c>
      <c r="G43" s="67">
        <f>MATCH(G$42, Weights!$D16:$CY16, 1)</f>
        <v>15</v>
      </c>
      <c r="H43" s="67">
        <f>MATCH(H$42, Weights!$D16:$CY16, 1)</f>
        <v>22</v>
      </c>
      <c r="I43" s="67">
        <f>MATCH(I$42, Weights!$D16:$CY16, 1)</f>
        <v>28</v>
      </c>
      <c r="J43" s="67">
        <f>MATCH(J$42, Weights!$D16:$CY16, 1)</f>
        <v>33</v>
      </c>
      <c r="K43" s="67">
        <f>MATCH(K$42, Weights!$D16:$CY16, 1)</f>
        <v>38</v>
      </c>
      <c r="L43" s="67">
        <f>MATCH(L$42, Weights!$D16:$CY16, 1)</f>
        <v>43</v>
      </c>
      <c r="M43" s="67">
        <f>MATCH(M$42, Weights!$D16:$CY16, 1)</f>
        <v>59</v>
      </c>
      <c r="N43" s="67">
        <f>MATCH(N$42, Weights!$D16:$CY16, 1)</f>
        <v>69</v>
      </c>
      <c r="O43" s="67">
        <f>MATCH(O$42, Weights!$D16:$CY16, 1)</f>
        <v>79</v>
      </c>
      <c r="P43" s="67">
        <f>MATCH(P$42, Weights!$D16:$CY16, 1)</f>
        <v>89</v>
      </c>
      <c r="Q43" s="67">
        <f>MATCH(Q$42, Weights!$D16:$CY16, 1)</f>
        <v>100</v>
      </c>
      <c r="R43" s="7"/>
      <c r="S43" s="7"/>
      <c r="T43" s="7"/>
      <c r="U43" s="7"/>
      <c r="V43" s="54"/>
    </row>
    <row r="44" spans="2:23" ht="15" customHeight="1" x14ac:dyDescent="0.25">
      <c r="B44" s="53"/>
      <c r="C44" s="7"/>
      <c r="D44" s="7"/>
      <c r="E44" s="90"/>
      <c r="F44" s="48">
        <f>H19</f>
        <v>800</v>
      </c>
      <c r="G44" s="67">
        <f>MATCH(G$42, Weights!$D17:$CY17, 1)</f>
        <v>15</v>
      </c>
      <c r="H44" s="67">
        <f>MATCH(H$42, Weights!$D17:$CY17, 1)</f>
        <v>22</v>
      </c>
      <c r="I44" s="67">
        <f>MATCH(I$42, Weights!$D17:$CY17, 1)</f>
        <v>28</v>
      </c>
      <c r="J44" s="67">
        <f>MATCH(J$42, Weights!$D17:$CY17, 1)</f>
        <v>33</v>
      </c>
      <c r="K44" s="67">
        <f>MATCH(K$42, Weights!$D17:$CY17, 1)</f>
        <v>38</v>
      </c>
      <c r="L44" s="67">
        <f>MATCH(L$42, Weights!$D17:$CY17, 1)</f>
        <v>43</v>
      </c>
      <c r="M44" s="67">
        <f>MATCH(M$42, Weights!$D17:$CY17, 1)</f>
        <v>59</v>
      </c>
      <c r="N44" s="67">
        <f>MATCH(N$42, Weights!$D17:$CY17, 1)</f>
        <v>69</v>
      </c>
      <c r="O44" s="67">
        <f>MATCH(O$42, Weights!$D17:$CY17, 1)</f>
        <v>79</v>
      </c>
      <c r="P44" s="67">
        <f>MATCH(P$42, Weights!$D17:$CY17, 1)</f>
        <v>89</v>
      </c>
      <c r="Q44" s="67">
        <f>MATCH(Q$42, Weights!$D17:$CY17, 1)</f>
        <v>100</v>
      </c>
      <c r="R44" s="7"/>
      <c r="S44" s="88" t="s">
        <v>52</v>
      </c>
      <c r="T44" s="88"/>
      <c r="U44" s="88"/>
      <c r="V44" s="54"/>
    </row>
    <row r="45" spans="2:23" x14ac:dyDescent="0.25">
      <c r="B45" s="53"/>
      <c r="C45" s="7"/>
      <c r="D45" s="7"/>
      <c r="E45" s="90"/>
      <c r="F45" s="48">
        <f>I19</f>
        <v>1000</v>
      </c>
      <c r="G45" s="67">
        <f>MATCH(G$42, Weights!$D18:$CY18, 1)</f>
        <v>14</v>
      </c>
      <c r="H45" s="67">
        <f>MATCH(H$42, Weights!$D18:$CY18, 1)</f>
        <v>22</v>
      </c>
      <c r="I45" s="67">
        <f>MATCH(I$42, Weights!$D18:$CY18, 1)</f>
        <v>28</v>
      </c>
      <c r="J45" s="67">
        <f>MATCH(J$42, Weights!$D18:$CY18, 1)</f>
        <v>33</v>
      </c>
      <c r="K45" s="67">
        <f>MATCH(K$42, Weights!$D18:$CY18, 1)</f>
        <v>38</v>
      </c>
      <c r="L45" s="67">
        <f>MATCH(L$42, Weights!$D18:$CY18, 1)</f>
        <v>43</v>
      </c>
      <c r="M45" s="67">
        <f>MATCH(M$42, Weights!$D18:$CY18, 1)</f>
        <v>59</v>
      </c>
      <c r="N45" s="67">
        <f>MATCH(N$42, Weights!$D18:$CY18, 1)</f>
        <v>69</v>
      </c>
      <c r="O45" s="67">
        <f>MATCH(O$42, Weights!$D18:$CY18, 1)</f>
        <v>79</v>
      </c>
      <c r="P45" s="67">
        <f>MATCH(P$42, Weights!$D18:$CY18, 1)</f>
        <v>89</v>
      </c>
      <c r="Q45" s="67">
        <f>MATCH(Q$42, Weights!$D18:$CY18, 1)</f>
        <v>100</v>
      </c>
      <c r="R45" s="7"/>
      <c r="S45" s="88"/>
      <c r="T45" s="88"/>
      <c r="U45" s="88"/>
      <c r="V45" s="54"/>
    </row>
    <row r="46" spans="2:23" x14ac:dyDescent="0.25">
      <c r="B46" s="53"/>
      <c r="C46" s="7"/>
      <c r="D46" s="7"/>
      <c r="E46" s="90"/>
      <c r="F46" s="48">
        <f>J19</f>
        <v>1240</v>
      </c>
      <c r="G46" s="67">
        <f>MATCH(G$42, Weights!$D19:$CY19, 1)</f>
        <v>14</v>
      </c>
      <c r="H46" s="67">
        <f>MATCH(H$42, Weights!$D19:$CY19, 1)</f>
        <v>22</v>
      </c>
      <c r="I46" s="67">
        <f>MATCH(I$42, Weights!$D19:$CY19, 1)</f>
        <v>28</v>
      </c>
      <c r="J46" s="67">
        <f>MATCH(J$42, Weights!$D19:$CY19, 1)</f>
        <v>33</v>
      </c>
      <c r="K46" s="67">
        <f>MATCH(K$42, Weights!$D19:$CY19, 1)</f>
        <v>38</v>
      </c>
      <c r="L46" s="67">
        <f>MATCH(L$42, Weights!$D19:$CY19, 1)</f>
        <v>43</v>
      </c>
      <c r="M46" s="67">
        <f>MATCH(M$42, Weights!$D19:$CY19, 1)</f>
        <v>58</v>
      </c>
      <c r="N46" s="67">
        <f>MATCH(N$42, Weights!$D19:$CY19, 1)</f>
        <v>68</v>
      </c>
      <c r="O46" s="67">
        <f>MATCH(O$42, Weights!$D19:$CY19, 1)</f>
        <v>78</v>
      </c>
      <c r="P46" s="67">
        <f>MATCH(P$42, Weights!$D19:$CY19, 1)</f>
        <v>89</v>
      </c>
      <c r="Q46" s="67">
        <f>MATCH(Q$42, Weights!$D19:$CY19, 1)</f>
        <v>100</v>
      </c>
      <c r="R46" s="7"/>
      <c r="S46" s="88"/>
      <c r="T46" s="88"/>
      <c r="U46" s="88"/>
      <c r="V46" s="54"/>
    </row>
    <row r="47" spans="2:23" x14ac:dyDescent="0.25">
      <c r="B47" s="53"/>
      <c r="C47" s="7"/>
      <c r="D47" s="7"/>
      <c r="E47" s="90"/>
      <c r="F47" s="48">
        <f>K19</f>
        <v>1520</v>
      </c>
      <c r="G47" s="67">
        <f>MATCH(G$42, Weights!$D20:$CY20, 1)</f>
        <v>14</v>
      </c>
      <c r="H47" s="67">
        <f>MATCH(H$42, Weights!$D20:$CY20, 1)</f>
        <v>22</v>
      </c>
      <c r="I47" s="67">
        <f>MATCH(I$42, Weights!$D20:$CY20, 1)</f>
        <v>28</v>
      </c>
      <c r="J47" s="67">
        <f>MATCH(J$42, Weights!$D20:$CY20, 1)</f>
        <v>32</v>
      </c>
      <c r="K47" s="67">
        <f>MATCH(K$42, Weights!$D20:$CY20, 1)</f>
        <v>37</v>
      </c>
      <c r="L47" s="67">
        <f>MATCH(L$42, Weights!$D20:$CY20, 1)</f>
        <v>42</v>
      </c>
      <c r="M47" s="67">
        <f>MATCH(M$42, Weights!$D20:$CY20, 1)</f>
        <v>58</v>
      </c>
      <c r="N47" s="67">
        <f>MATCH(N$42, Weights!$D20:$CY20, 1)</f>
        <v>68</v>
      </c>
      <c r="O47" s="67">
        <f>MATCH(O$42, Weights!$D20:$CY20, 1)</f>
        <v>78</v>
      </c>
      <c r="P47" s="67">
        <f>MATCH(P$42, Weights!$D20:$CY20, 1)</f>
        <v>89</v>
      </c>
      <c r="Q47" s="67">
        <f>MATCH(Q$42, Weights!$D20:$CY20, 1)</f>
        <v>100</v>
      </c>
      <c r="R47" s="7"/>
      <c r="S47" s="88"/>
      <c r="T47" s="88"/>
      <c r="U47" s="88"/>
      <c r="V47" s="54"/>
    </row>
    <row r="48" spans="2:23" x14ac:dyDescent="0.25">
      <c r="B48" s="53"/>
      <c r="C48" s="7"/>
      <c r="D48" s="7"/>
      <c r="E48" s="90"/>
      <c r="F48" s="48">
        <f>L19</f>
        <v>1720</v>
      </c>
      <c r="G48" s="67">
        <f>MATCH(G$42, Weights!$D21:$CY21, 1)</f>
        <v>14</v>
      </c>
      <c r="H48" s="67">
        <f>MATCH(H$42, Weights!$D21:$CY21, 1)</f>
        <v>22</v>
      </c>
      <c r="I48" s="67">
        <f>MATCH(I$42, Weights!$D21:$CY21, 1)</f>
        <v>28</v>
      </c>
      <c r="J48" s="67">
        <f>MATCH(J$42, Weights!$D21:$CY21, 1)</f>
        <v>32</v>
      </c>
      <c r="K48" s="67">
        <f>MATCH(K$42, Weights!$D21:$CY21, 1)</f>
        <v>37</v>
      </c>
      <c r="L48" s="67">
        <f>MATCH(L$42, Weights!$D21:$CY21, 1)</f>
        <v>42</v>
      </c>
      <c r="M48" s="67">
        <f>MATCH(M$42, Weights!$D21:$CY21, 1)</f>
        <v>58</v>
      </c>
      <c r="N48" s="67">
        <f>MATCH(N$42, Weights!$D21:$CY21, 1)</f>
        <v>68</v>
      </c>
      <c r="O48" s="67">
        <f>MATCH(O$42, Weights!$D21:$CY21, 1)</f>
        <v>78</v>
      </c>
      <c r="P48" s="67">
        <f>MATCH(P$42, Weights!$D21:$CY21, 1)</f>
        <v>88</v>
      </c>
      <c r="Q48" s="67">
        <f>MATCH(Q$42, Weights!$D21:$CY21, 1)</f>
        <v>100</v>
      </c>
      <c r="R48" s="7"/>
      <c r="S48" s="88"/>
      <c r="T48" s="88"/>
      <c r="U48" s="88"/>
      <c r="V48" s="54"/>
    </row>
    <row r="49" spans="2:23" x14ac:dyDescent="0.25">
      <c r="B49" s="53"/>
      <c r="C49" s="7"/>
      <c r="D49" s="7"/>
      <c r="E49" s="90"/>
      <c r="F49" s="48">
        <f>M19</f>
        <v>2000</v>
      </c>
      <c r="G49" s="67">
        <f>MATCH(G$42, Weights!$D22:$CY22, 1)</f>
        <v>14</v>
      </c>
      <c r="H49" s="67">
        <f>MATCH(H$42, Weights!$D22:$CY22, 1)</f>
        <v>21</v>
      </c>
      <c r="I49" s="67">
        <f>MATCH(I$42, Weights!$D22:$CY22, 1)</f>
        <v>28</v>
      </c>
      <c r="J49" s="67">
        <f>MATCH(J$42, Weights!$D22:$CY22, 1)</f>
        <v>32</v>
      </c>
      <c r="K49" s="67">
        <f>MATCH(K$42, Weights!$D22:$CY22, 1)</f>
        <v>37</v>
      </c>
      <c r="L49" s="67">
        <f>MATCH(L$42, Weights!$D22:$CY22, 1)</f>
        <v>42</v>
      </c>
      <c r="M49" s="67">
        <f>MATCH(M$42, Weights!$D22:$CY22, 1)</f>
        <v>58</v>
      </c>
      <c r="N49" s="67">
        <f>MATCH(N$42, Weights!$D22:$CY22, 1)</f>
        <v>68</v>
      </c>
      <c r="O49" s="67">
        <f>MATCH(O$42, Weights!$D22:$CY22, 1)</f>
        <v>78</v>
      </c>
      <c r="P49" s="67">
        <f>MATCH(P$42, Weights!$D22:$CY22, 1)</f>
        <v>88</v>
      </c>
      <c r="Q49" s="67">
        <f>MATCH(Q$42, Weights!$D22:$CY22, 1)</f>
        <v>100</v>
      </c>
      <c r="R49" s="7"/>
      <c r="S49" s="88"/>
      <c r="T49" s="88"/>
      <c r="U49" s="88"/>
      <c r="V49" s="54"/>
    </row>
    <row r="50" spans="2:23" x14ac:dyDescent="0.25">
      <c r="B50" s="53"/>
      <c r="C50" s="7"/>
      <c r="D50" s="7"/>
      <c r="E50" s="90"/>
      <c r="F50" s="48">
        <f>N19</f>
        <v>2520</v>
      </c>
      <c r="G50" s="67">
        <f>MATCH(G$42, Weights!$D23:$CY23, 1)</f>
        <v>14</v>
      </c>
      <c r="H50" s="67">
        <f>MATCH(H$42, Weights!$D23:$CY23, 1)</f>
        <v>21</v>
      </c>
      <c r="I50" s="67">
        <f>MATCH(I$42, Weights!$D23:$CY23, 1)</f>
        <v>27</v>
      </c>
      <c r="J50" s="67">
        <f>MATCH(J$42, Weights!$D23:$CY23, 1)</f>
        <v>32</v>
      </c>
      <c r="K50" s="67">
        <f>MATCH(K$42, Weights!$D23:$CY23, 1)</f>
        <v>37</v>
      </c>
      <c r="L50" s="67">
        <f>MATCH(L$42, Weights!$D23:$CY23, 1)</f>
        <v>42</v>
      </c>
      <c r="M50" s="67">
        <f>MATCH(M$42, Weights!$D23:$CY23, 1)</f>
        <v>57</v>
      </c>
      <c r="N50" s="67">
        <f>MATCH(N$42, Weights!$D23:$CY23, 1)</f>
        <v>68</v>
      </c>
      <c r="O50" s="67">
        <f>MATCH(O$42, Weights!$D23:$CY23, 1)</f>
        <v>77</v>
      </c>
      <c r="P50" s="67">
        <f>MATCH(P$42, Weights!$D23:$CY23, 1)</f>
        <v>88</v>
      </c>
      <c r="Q50" s="67">
        <f>MATCH(Q$42, Weights!$D23:$CY23, 1)</f>
        <v>100</v>
      </c>
      <c r="R50" s="7"/>
      <c r="S50" s="88"/>
      <c r="T50" s="88"/>
      <c r="U50" s="88"/>
      <c r="V50" s="54"/>
    </row>
    <row r="51" spans="2:23" x14ac:dyDescent="0.25">
      <c r="B51" s="53"/>
      <c r="C51" s="7"/>
      <c r="D51" s="7"/>
      <c r="E51" s="90"/>
      <c r="F51" s="48">
        <f>O19</f>
        <v>3000</v>
      </c>
      <c r="G51" s="67">
        <f>MATCH(G$42, Weights!$D24:$CY24, 1)</f>
        <v>13</v>
      </c>
      <c r="H51" s="67">
        <f>MATCH(H$42, Weights!$D24:$CY24, 1)</f>
        <v>20</v>
      </c>
      <c r="I51" s="67">
        <f>MATCH(I$42, Weights!$D24:$CY24, 1)</f>
        <v>27</v>
      </c>
      <c r="J51" s="67">
        <f>MATCH(J$42, Weights!$D24:$CY24, 1)</f>
        <v>31</v>
      </c>
      <c r="K51" s="67">
        <f>MATCH(K$42, Weights!$D24:$CY24, 1)</f>
        <v>36</v>
      </c>
      <c r="L51" s="67">
        <f>MATCH(L$42, Weights!$D24:$CY24, 1)</f>
        <v>41</v>
      </c>
      <c r="M51" s="67">
        <f>MATCH(M$42, Weights!$D24:$CY24, 1)</f>
        <v>57</v>
      </c>
      <c r="N51" s="67">
        <f>MATCH(N$42, Weights!$D24:$CY24, 1)</f>
        <v>67</v>
      </c>
      <c r="O51" s="67">
        <f>MATCH(O$42, Weights!$D24:$CY24, 1)</f>
        <v>77</v>
      </c>
      <c r="P51" s="67">
        <f>MATCH(P$42, Weights!$D24:$CY24, 1)</f>
        <v>88</v>
      </c>
      <c r="Q51" s="67">
        <f>MATCH(Q$42, Weights!$D24:$CY24, 1)</f>
        <v>100</v>
      </c>
      <c r="R51" s="7"/>
      <c r="S51" s="88"/>
      <c r="T51" s="88"/>
      <c r="U51" s="88"/>
      <c r="V51" s="54"/>
    </row>
    <row r="52" spans="2:23" x14ac:dyDescent="0.25">
      <c r="B52" s="53"/>
      <c r="C52" s="7"/>
      <c r="D52" s="7"/>
      <c r="E52" s="90"/>
      <c r="F52" s="48">
        <f>P19</f>
        <v>3520</v>
      </c>
      <c r="G52" s="67">
        <f>MATCH(G$42, Weights!$D25:$CY25, 1)</f>
        <v>13</v>
      </c>
      <c r="H52" s="67">
        <f>MATCH(H$42, Weights!$D25:$CY25, 1)</f>
        <v>19</v>
      </c>
      <c r="I52" s="67">
        <f>MATCH(I$42, Weights!$D25:$CY25, 1)</f>
        <v>26</v>
      </c>
      <c r="J52" s="67">
        <f>MATCH(J$42, Weights!$D25:$CY25, 1)</f>
        <v>31</v>
      </c>
      <c r="K52" s="67">
        <f>MATCH(K$42, Weights!$D25:$CY25, 1)</f>
        <v>36</v>
      </c>
      <c r="L52" s="67">
        <f>MATCH(L$42, Weights!$D25:$CY25, 1)</f>
        <v>41</v>
      </c>
      <c r="M52" s="67">
        <f>MATCH(M$42, Weights!$D25:$CY25, 1)</f>
        <v>57</v>
      </c>
      <c r="N52" s="67">
        <f>MATCH(N$42, Weights!$D25:$CY25, 1)</f>
        <v>67</v>
      </c>
      <c r="O52" s="67">
        <f>MATCH(O$42, Weights!$D25:$CY25, 1)</f>
        <v>77</v>
      </c>
      <c r="P52" s="67">
        <f>MATCH(P$42, Weights!$D25:$CY25, 1)</f>
        <v>87</v>
      </c>
      <c r="Q52" s="67">
        <f>MATCH(Q$42, Weights!$D25:$CY25, 1)</f>
        <v>100</v>
      </c>
      <c r="R52" s="7"/>
      <c r="S52" s="88"/>
      <c r="T52" s="88"/>
      <c r="U52" s="88"/>
      <c r="V52" s="54"/>
    </row>
    <row r="53" spans="2:23" x14ac:dyDescent="0.25">
      <c r="B53" s="53"/>
      <c r="C53" s="7"/>
      <c r="D53" s="7"/>
      <c r="E53" s="90"/>
      <c r="F53" s="48">
        <f>Q19</f>
        <v>4000</v>
      </c>
      <c r="G53" s="67">
        <f>MATCH(G$42, Weights!$D26:$CY26, 1)</f>
        <v>13</v>
      </c>
      <c r="H53" s="67">
        <f>MATCH(H$42, Weights!$D26:$CY26, 1)</f>
        <v>18</v>
      </c>
      <c r="I53" s="67">
        <f>MATCH(I$42, Weights!$D26:$CY26, 1)</f>
        <v>26</v>
      </c>
      <c r="J53" s="67">
        <f>MATCH(J$42, Weights!$D26:$CY26, 1)</f>
        <v>31</v>
      </c>
      <c r="K53" s="67">
        <f>MATCH(K$42, Weights!$D26:$CY26, 1)</f>
        <v>36</v>
      </c>
      <c r="L53" s="67">
        <f>MATCH(L$42, Weights!$D26:$CY26, 1)</f>
        <v>41</v>
      </c>
      <c r="M53" s="67">
        <f>MATCH(M$42, Weights!$D26:$CY26, 1)</f>
        <v>56</v>
      </c>
      <c r="N53" s="67">
        <f>MATCH(N$42, Weights!$D26:$CY26, 1)</f>
        <v>66</v>
      </c>
      <c r="O53" s="67">
        <f>MATCH(O$42, Weights!$D26:$CY26, 1)</f>
        <v>76</v>
      </c>
      <c r="P53" s="67">
        <f>MATCH(P$42, Weights!$D26:$CY26, 1)</f>
        <v>87</v>
      </c>
      <c r="Q53" s="67">
        <f>MATCH(Q$42, Weights!$D26:$CY26, 1)</f>
        <v>100</v>
      </c>
      <c r="R53" s="7"/>
      <c r="S53" s="88"/>
      <c r="T53" s="88"/>
      <c r="U53" s="88"/>
      <c r="V53" s="54"/>
    </row>
    <row r="54" spans="2:23" x14ac:dyDescent="0.25">
      <c r="B54" s="53"/>
      <c r="C54" s="7"/>
      <c r="D54" s="7"/>
      <c r="E54" s="90"/>
      <c r="F54" s="48">
        <f>R19</f>
        <v>4520</v>
      </c>
      <c r="G54" s="67">
        <f>MATCH(G$42, Weights!$D27:$CY27, 1)</f>
        <v>12</v>
      </c>
      <c r="H54" s="67">
        <f>MATCH(H$42, Weights!$D27:$CY27, 1)</f>
        <v>17</v>
      </c>
      <c r="I54" s="67">
        <f>MATCH(I$42, Weights!$D27:$CY27, 1)</f>
        <v>26</v>
      </c>
      <c r="J54" s="67">
        <f>MATCH(J$42, Weights!$D27:$CY27, 1)</f>
        <v>31</v>
      </c>
      <c r="K54" s="67">
        <f>MATCH(K$42, Weights!$D27:$CY27, 1)</f>
        <v>36</v>
      </c>
      <c r="L54" s="67">
        <f>MATCH(L$42, Weights!$D27:$CY27, 1)</f>
        <v>41</v>
      </c>
      <c r="M54" s="67">
        <f>MATCH(M$42, Weights!$D27:$CY27, 1)</f>
        <v>56</v>
      </c>
      <c r="N54" s="67">
        <f>MATCH(N$42, Weights!$D27:$CY27, 1)</f>
        <v>66</v>
      </c>
      <c r="O54" s="67">
        <f>MATCH(O$42, Weights!$D27:$CY27, 1)</f>
        <v>76</v>
      </c>
      <c r="P54" s="67">
        <f>MATCH(P$42, Weights!$D27:$CY27, 1)</f>
        <v>86</v>
      </c>
      <c r="Q54" s="67">
        <f>MATCH(Q$42, Weights!$D27:$CY27, 1)</f>
        <v>100</v>
      </c>
      <c r="R54" s="7"/>
      <c r="S54" s="88"/>
      <c r="T54" s="88"/>
      <c r="U54" s="88"/>
      <c r="V54" s="54"/>
    </row>
    <row r="55" spans="2:23" x14ac:dyDescent="0.25">
      <c r="B55" s="53"/>
      <c r="C55" s="7"/>
      <c r="D55" s="7"/>
      <c r="E55" s="90"/>
      <c r="F55" s="48">
        <f>S19</f>
        <v>5000</v>
      </c>
      <c r="G55" s="67">
        <f>MATCH(G$42, Weights!$D28:$CY28, 1)</f>
        <v>12</v>
      </c>
      <c r="H55" s="67">
        <f>MATCH(H$42, Weights!$D28:$CY28, 1)</f>
        <v>16</v>
      </c>
      <c r="I55" s="67">
        <f>MATCH(I$42, Weights!$D28:$CY28, 1)</f>
        <v>26</v>
      </c>
      <c r="J55" s="67">
        <f>MATCH(J$42, Weights!$D28:$CY28, 1)</f>
        <v>30</v>
      </c>
      <c r="K55" s="67">
        <f>MATCH(K$42, Weights!$D28:$CY28, 1)</f>
        <v>35</v>
      </c>
      <c r="L55" s="67">
        <f>MATCH(L$42, Weights!$D28:$CY28, 1)</f>
        <v>40</v>
      </c>
      <c r="M55" s="67">
        <f>MATCH(M$42, Weights!$D28:$CY28, 1)</f>
        <v>56</v>
      </c>
      <c r="N55" s="67">
        <f>MATCH(N$42, Weights!$D28:$CY28, 1)</f>
        <v>66</v>
      </c>
      <c r="O55" s="67">
        <f>MATCH(O$42, Weights!$D28:$CY28, 1)</f>
        <v>76</v>
      </c>
      <c r="P55" s="67">
        <f>MATCH(P$42, Weights!$D28:$CY28, 1)</f>
        <v>86</v>
      </c>
      <c r="Q55" s="67">
        <f>MATCH(Q$42, Weights!$D28:$CY28, 1)</f>
        <v>100</v>
      </c>
      <c r="R55" s="7"/>
      <c r="S55" s="88"/>
      <c r="T55" s="88"/>
      <c r="U55" s="88"/>
      <c r="V55" s="54"/>
    </row>
    <row r="56" spans="2:23" x14ac:dyDescent="0.25">
      <c r="B56" s="53"/>
      <c r="C56" s="7"/>
      <c r="D56" s="7"/>
      <c r="E56" s="90"/>
      <c r="F56" s="48">
        <f>T19</f>
        <v>5520</v>
      </c>
      <c r="G56" s="67">
        <f>MATCH(G$42, Weights!$D29:$CY29, 1)</f>
        <v>12</v>
      </c>
      <c r="H56" s="67">
        <f>MATCH(H$42, Weights!$D29:$CY29, 1)</f>
        <v>15</v>
      </c>
      <c r="I56" s="67">
        <f>MATCH(I$42, Weights!$D29:$CY29, 1)</f>
        <v>25</v>
      </c>
      <c r="J56" s="67">
        <f>MATCH(J$42, Weights!$D29:$CY29, 1)</f>
        <v>30</v>
      </c>
      <c r="K56" s="67">
        <f>MATCH(K$42, Weights!$D29:$CY29, 1)</f>
        <v>35</v>
      </c>
      <c r="L56" s="67">
        <f>MATCH(L$42, Weights!$D29:$CY29, 1)</f>
        <v>40</v>
      </c>
      <c r="M56" s="67">
        <f>MATCH(M$42, Weights!$D29:$CY29, 1)</f>
        <v>55</v>
      </c>
      <c r="N56" s="67">
        <f>MATCH(N$42, Weights!$D29:$CY29, 1)</f>
        <v>66</v>
      </c>
      <c r="O56" s="67">
        <f>MATCH(O$42, Weights!$D29:$CY29, 1)</f>
        <v>76</v>
      </c>
      <c r="P56" s="67">
        <f>MATCH(P$42, Weights!$D29:$CY29, 1)</f>
        <v>86</v>
      </c>
      <c r="Q56" s="67">
        <f>MATCH(Q$42, Weights!$D29:$CY29, 1)</f>
        <v>100</v>
      </c>
      <c r="R56" s="7"/>
      <c r="S56" s="88"/>
      <c r="T56" s="88"/>
      <c r="U56" s="88"/>
      <c r="V56" s="54"/>
    </row>
    <row r="57" spans="2:23" x14ac:dyDescent="0.25">
      <c r="B57" s="53"/>
      <c r="C57" s="7"/>
      <c r="D57" s="7"/>
      <c r="E57" s="90"/>
      <c r="F57" s="48">
        <f>U19</f>
        <v>6000</v>
      </c>
      <c r="G57" s="67">
        <f>MATCH(G$42, Weights!$D30:$CY30, 1)</f>
        <v>12</v>
      </c>
      <c r="H57" s="67">
        <f>MATCH(H$42, Weights!$D30:$CY30, 1)</f>
        <v>15</v>
      </c>
      <c r="I57" s="67">
        <f>MATCH(I$42, Weights!$D30:$CY30, 1)</f>
        <v>24</v>
      </c>
      <c r="J57" s="67">
        <f>MATCH(J$42, Weights!$D30:$CY30, 1)</f>
        <v>30</v>
      </c>
      <c r="K57" s="67">
        <f>MATCH(K$42, Weights!$D30:$CY30, 1)</f>
        <v>35</v>
      </c>
      <c r="L57" s="67">
        <f>MATCH(L$42, Weights!$D30:$CY30, 1)</f>
        <v>39</v>
      </c>
      <c r="M57" s="67">
        <f>MATCH(M$42, Weights!$D30:$CY30, 1)</f>
        <v>55</v>
      </c>
      <c r="N57" s="67">
        <f>MATCH(N$42, Weights!$D30:$CY30, 1)</f>
        <v>65</v>
      </c>
      <c r="O57" s="67">
        <f>MATCH(O$42, Weights!$D30:$CY30, 1)</f>
        <v>75</v>
      </c>
      <c r="P57" s="67">
        <f>MATCH(P$42, Weights!$D30:$CY30, 1)</f>
        <v>86</v>
      </c>
      <c r="Q57" s="67">
        <f>MATCH(Q$42, Weights!$D30:$CY30, 1)</f>
        <v>100</v>
      </c>
      <c r="R57" s="7"/>
      <c r="S57" s="88"/>
      <c r="T57" s="88"/>
      <c r="U57" s="88"/>
      <c r="V57" s="54"/>
    </row>
    <row r="58" spans="2:23" x14ac:dyDescent="0.25">
      <c r="B58" s="53"/>
      <c r="C58" s="7"/>
      <c r="D58" s="7"/>
      <c r="E58" s="90"/>
      <c r="F58" s="48">
        <f>V19</f>
        <v>6800</v>
      </c>
      <c r="G58" s="67">
        <f>MATCH(G$42, Weights!$D31:$CY31, 1)</f>
        <v>11</v>
      </c>
      <c r="H58" s="67">
        <f>MATCH(H$42, Weights!$D31:$CY31, 1)</f>
        <v>14</v>
      </c>
      <c r="I58" s="67">
        <f>MATCH(I$42, Weights!$D31:$CY31, 1)</f>
        <v>24</v>
      </c>
      <c r="J58" s="67">
        <f>MATCH(J$42, Weights!$D31:$CY31, 1)</f>
        <v>29</v>
      </c>
      <c r="K58" s="67">
        <f>MATCH(K$42, Weights!$D31:$CY31, 1)</f>
        <v>34</v>
      </c>
      <c r="L58" s="67">
        <f>MATCH(L$42, Weights!$D31:$CY31, 1)</f>
        <v>39</v>
      </c>
      <c r="M58" s="67">
        <f>MATCH(M$42, Weights!$D31:$CY31, 1)</f>
        <v>55</v>
      </c>
      <c r="N58" s="67">
        <f>MATCH(N$42, Weights!$D31:$CY31, 1)</f>
        <v>65</v>
      </c>
      <c r="O58" s="67">
        <f>MATCH(O$42, Weights!$D31:$CY31, 1)</f>
        <v>75</v>
      </c>
      <c r="P58" s="67">
        <f>MATCH(P$42, Weights!$D31:$CY31, 1)</f>
        <v>85</v>
      </c>
      <c r="Q58" s="67">
        <f>MATCH(Q$42, Weights!$D31:$CY31, 1)</f>
        <v>100</v>
      </c>
      <c r="R58" s="7"/>
      <c r="S58" s="88"/>
      <c r="T58" s="88"/>
      <c r="U58" s="88"/>
      <c r="V58" s="54"/>
    </row>
    <row r="59" spans="2:23" x14ac:dyDescent="0.25">
      <c r="B59" s="53"/>
      <c r="C59" s="7"/>
      <c r="D59" s="7" t="s">
        <v>43</v>
      </c>
      <c r="E59" s="7"/>
      <c r="F59" s="7"/>
      <c r="G59" s="7"/>
      <c r="H59" s="7"/>
      <c r="I59" s="7"/>
      <c r="J59" s="7"/>
      <c r="K59" s="7"/>
      <c r="L59" s="7"/>
      <c r="M59" s="7"/>
      <c r="N59" s="7"/>
      <c r="O59" s="7"/>
      <c r="P59" s="7"/>
      <c r="Q59" s="7"/>
      <c r="R59" s="7"/>
      <c r="S59" s="68"/>
      <c r="T59" s="68"/>
      <c r="U59" s="68"/>
      <c r="V59" s="54"/>
    </row>
    <row r="60" spans="2:23" ht="15.75" thickBot="1" x14ac:dyDescent="0.3">
      <c r="B60" s="58"/>
      <c r="C60" s="59"/>
      <c r="D60" s="59"/>
      <c r="E60" s="59"/>
      <c r="F60" s="59"/>
      <c r="G60" s="59"/>
      <c r="H60" s="59"/>
      <c r="I60" s="59"/>
      <c r="J60" s="59"/>
      <c r="K60" s="59"/>
      <c r="L60" s="59"/>
      <c r="M60" s="59"/>
      <c r="N60" s="59"/>
      <c r="O60" s="59"/>
      <c r="P60" s="59"/>
      <c r="Q60" s="59"/>
      <c r="R60" s="59"/>
      <c r="S60" s="59"/>
      <c r="T60" s="59"/>
      <c r="U60" s="59"/>
      <c r="V60" s="60"/>
    </row>
    <row r="61" spans="2:23" ht="16.5" thickTop="1" thickBot="1" x14ac:dyDescent="0.3"/>
    <row r="62" spans="2:23" ht="15.75" thickTop="1" x14ac:dyDescent="0.25">
      <c r="B62" s="50"/>
      <c r="C62" s="51"/>
      <c r="D62" s="51"/>
      <c r="E62" s="51"/>
      <c r="F62" s="51"/>
      <c r="G62" s="51"/>
      <c r="H62" s="51"/>
      <c r="I62" s="51"/>
      <c r="J62" s="51"/>
      <c r="K62" s="51"/>
      <c r="L62" s="51"/>
      <c r="M62" s="51"/>
      <c r="N62" s="51"/>
      <c r="O62" s="51"/>
      <c r="P62" s="51"/>
      <c r="Q62" s="51"/>
      <c r="R62" s="51"/>
      <c r="S62" s="51"/>
      <c r="T62" s="51"/>
      <c r="U62" s="51"/>
      <c r="V62" s="51"/>
      <c r="W62" s="52"/>
    </row>
    <row r="63" spans="2:23" x14ac:dyDescent="0.25">
      <c r="B63" s="53"/>
      <c r="C63" s="63" t="s">
        <v>34</v>
      </c>
      <c r="D63" s="7"/>
      <c r="E63" s="7"/>
      <c r="F63" s="7"/>
      <c r="G63" s="7" t="s">
        <v>35</v>
      </c>
      <c r="H63" s="7"/>
      <c r="I63" s="7"/>
      <c r="J63" s="7"/>
      <c r="K63" s="7"/>
      <c r="L63" s="7"/>
      <c r="M63" s="7"/>
      <c r="N63" s="7"/>
      <c r="O63" s="7"/>
      <c r="P63" s="7"/>
      <c r="Q63" s="7"/>
      <c r="R63" s="7"/>
      <c r="S63" s="7"/>
      <c r="T63" s="7"/>
      <c r="U63" s="7"/>
      <c r="V63" s="7"/>
      <c r="W63" s="54"/>
    </row>
    <row r="64" spans="2:23" x14ac:dyDescent="0.25">
      <c r="B64" s="53"/>
      <c r="C64" s="7"/>
      <c r="D64" s="7"/>
      <c r="E64" s="7"/>
      <c r="F64" s="7"/>
      <c r="G64" s="48">
        <f t="shared" ref="G64:V64" si="1">G19</f>
        <v>600</v>
      </c>
      <c r="H64" s="48">
        <f t="shared" si="1"/>
        <v>800</v>
      </c>
      <c r="I64" s="48">
        <f t="shared" si="1"/>
        <v>1000</v>
      </c>
      <c r="J64" s="48">
        <f t="shared" si="1"/>
        <v>1240</v>
      </c>
      <c r="K64" s="48">
        <f t="shared" si="1"/>
        <v>1520</v>
      </c>
      <c r="L64" s="48">
        <f t="shared" si="1"/>
        <v>1720</v>
      </c>
      <c r="M64" s="48">
        <f t="shared" si="1"/>
        <v>2000</v>
      </c>
      <c r="N64" s="48">
        <f t="shared" si="1"/>
        <v>2520</v>
      </c>
      <c r="O64" s="48">
        <f t="shared" si="1"/>
        <v>3000</v>
      </c>
      <c r="P64" s="48">
        <f t="shared" si="1"/>
        <v>3520</v>
      </c>
      <c r="Q64" s="48">
        <f t="shared" si="1"/>
        <v>4000</v>
      </c>
      <c r="R64" s="48">
        <f t="shared" si="1"/>
        <v>4520</v>
      </c>
      <c r="S64" s="48">
        <f t="shared" si="1"/>
        <v>5000</v>
      </c>
      <c r="T64" s="48">
        <f t="shared" si="1"/>
        <v>5520</v>
      </c>
      <c r="U64" s="48">
        <f t="shared" si="1"/>
        <v>6000</v>
      </c>
      <c r="V64" s="48">
        <f t="shared" si="1"/>
        <v>6800</v>
      </c>
      <c r="W64" s="54"/>
    </row>
    <row r="65" spans="2:23" x14ac:dyDescent="0.25">
      <c r="B65" s="53"/>
      <c r="C65" s="7"/>
      <c r="D65" s="7"/>
      <c r="E65" s="7"/>
      <c r="F65" s="32">
        <f>G41</f>
        <v>0</v>
      </c>
      <c r="G65" s="66">
        <v>21.75</v>
      </c>
      <c r="H65" s="66">
        <v>31.5</v>
      </c>
      <c r="I65" s="66">
        <v>42</v>
      </c>
      <c r="J65" s="66">
        <v>45</v>
      </c>
      <c r="K65" s="66">
        <v>45</v>
      </c>
      <c r="L65" s="66">
        <v>42.75</v>
      </c>
      <c r="M65" s="66">
        <v>42.75</v>
      </c>
      <c r="N65" s="66">
        <v>48.75</v>
      </c>
      <c r="O65" s="66">
        <v>52.5</v>
      </c>
      <c r="P65" s="66">
        <v>46.5</v>
      </c>
      <c r="Q65" s="66">
        <v>41.25</v>
      </c>
      <c r="R65" s="66">
        <v>42</v>
      </c>
      <c r="S65" s="66">
        <v>42.75</v>
      </c>
      <c r="T65" s="66">
        <v>42.75</v>
      </c>
      <c r="U65" s="66">
        <v>42.75</v>
      </c>
      <c r="V65" s="66">
        <v>48</v>
      </c>
      <c r="W65" s="54"/>
    </row>
    <row r="66" spans="2:23" x14ac:dyDescent="0.25">
      <c r="B66" s="53"/>
      <c r="C66" s="7"/>
      <c r="D66" s="7"/>
      <c r="E66" s="7"/>
      <c r="F66" s="32">
        <f>H41</f>
        <v>10</v>
      </c>
      <c r="G66" s="66">
        <v>21</v>
      </c>
      <c r="H66" s="66">
        <v>29.25</v>
      </c>
      <c r="I66" s="66">
        <v>37.5</v>
      </c>
      <c r="J66" s="66">
        <v>40.5</v>
      </c>
      <c r="K66" s="66">
        <v>40.5</v>
      </c>
      <c r="L66" s="66">
        <v>39</v>
      </c>
      <c r="M66" s="66">
        <v>38.25</v>
      </c>
      <c r="N66" s="66">
        <v>44.25</v>
      </c>
      <c r="O66" s="66">
        <v>48.75</v>
      </c>
      <c r="P66" s="66">
        <v>43.5</v>
      </c>
      <c r="Q66" s="66">
        <v>39.75</v>
      </c>
      <c r="R66" s="66">
        <v>40.5</v>
      </c>
      <c r="S66" s="66">
        <v>41.25</v>
      </c>
      <c r="T66" s="66">
        <v>41.25</v>
      </c>
      <c r="U66" s="66">
        <v>41.25</v>
      </c>
      <c r="V66" s="66">
        <v>47.25</v>
      </c>
      <c r="W66" s="54"/>
    </row>
    <row r="67" spans="2:23" x14ac:dyDescent="0.25">
      <c r="B67" s="53"/>
      <c r="C67" s="7"/>
      <c r="D67" s="7"/>
      <c r="E67" s="7"/>
      <c r="F67" s="32">
        <f>I41</f>
        <v>20</v>
      </c>
      <c r="G67" s="66">
        <v>21</v>
      </c>
      <c r="H67" s="66">
        <v>26.25</v>
      </c>
      <c r="I67" s="66">
        <v>32.25</v>
      </c>
      <c r="J67" s="66">
        <v>35.25</v>
      </c>
      <c r="K67" s="66">
        <v>36</v>
      </c>
      <c r="L67" s="66">
        <v>34.5</v>
      </c>
      <c r="M67" s="66">
        <v>34.5</v>
      </c>
      <c r="N67" s="66">
        <v>39.75</v>
      </c>
      <c r="O67" s="66">
        <v>44.25</v>
      </c>
      <c r="P67" s="66">
        <v>40.5</v>
      </c>
      <c r="Q67" s="66">
        <v>38.25</v>
      </c>
      <c r="R67" s="66">
        <v>38.25</v>
      </c>
      <c r="S67" s="66">
        <v>39.75</v>
      </c>
      <c r="T67" s="66">
        <v>39.75</v>
      </c>
      <c r="U67" s="66">
        <v>40.5</v>
      </c>
      <c r="V67" s="66">
        <v>46.5</v>
      </c>
      <c r="W67" s="54"/>
    </row>
    <row r="68" spans="2:23" x14ac:dyDescent="0.25">
      <c r="B68" s="53"/>
      <c r="C68" s="7"/>
      <c r="D68" s="7"/>
      <c r="E68" s="7"/>
      <c r="F68" s="32">
        <f>J41</f>
        <v>30</v>
      </c>
      <c r="G68" s="66">
        <v>21</v>
      </c>
      <c r="H68" s="66">
        <v>24</v>
      </c>
      <c r="I68" s="66">
        <v>26.25</v>
      </c>
      <c r="J68" s="66">
        <v>29.25</v>
      </c>
      <c r="K68" s="66">
        <v>32.25</v>
      </c>
      <c r="L68" s="66">
        <v>31.5</v>
      </c>
      <c r="M68" s="66">
        <v>31.5</v>
      </c>
      <c r="N68" s="66">
        <v>35.25</v>
      </c>
      <c r="O68" s="66">
        <v>39</v>
      </c>
      <c r="P68" s="66">
        <v>39</v>
      </c>
      <c r="Q68" s="66">
        <v>36.75</v>
      </c>
      <c r="R68" s="66">
        <v>36.75</v>
      </c>
      <c r="S68" s="66">
        <v>38.25</v>
      </c>
      <c r="T68" s="66">
        <v>38.25</v>
      </c>
      <c r="U68" s="66">
        <v>39.75</v>
      </c>
      <c r="V68" s="66">
        <v>45.75</v>
      </c>
      <c r="W68" s="54"/>
    </row>
    <row r="69" spans="2:23" x14ac:dyDescent="0.25">
      <c r="B69" s="53"/>
      <c r="C69" s="7"/>
      <c r="D69" s="7"/>
      <c r="E69" s="7"/>
      <c r="F69" s="32">
        <f>K41</f>
        <v>50</v>
      </c>
      <c r="G69" s="66">
        <v>18</v>
      </c>
      <c r="H69" s="66">
        <v>20.25</v>
      </c>
      <c r="I69" s="66">
        <v>22.5</v>
      </c>
      <c r="J69" s="66">
        <v>25.5</v>
      </c>
      <c r="K69" s="66">
        <v>28.5</v>
      </c>
      <c r="L69" s="66">
        <v>28.5</v>
      </c>
      <c r="M69" s="66">
        <v>29.25</v>
      </c>
      <c r="N69" s="66">
        <v>31.5</v>
      </c>
      <c r="O69" s="66">
        <v>34.5</v>
      </c>
      <c r="P69" s="66">
        <v>34.5</v>
      </c>
      <c r="Q69" s="66">
        <v>33.75</v>
      </c>
      <c r="R69" s="66">
        <v>34.5</v>
      </c>
      <c r="S69" s="66">
        <v>34.5</v>
      </c>
      <c r="T69" s="66">
        <v>35.25</v>
      </c>
      <c r="U69" s="66">
        <v>36.75</v>
      </c>
      <c r="V69" s="66">
        <v>39.75</v>
      </c>
      <c r="W69" s="54"/>
    </row>
    <row r="70" spans="2:23" x14ac:dyDescent="0.25">
      <c r="B70" s="53"/>
      <c r="C70" s="7"/>
      <c r="D70" s="7"/>
      <c r="E70" s="7"/>
      <c r="F70" s="32">
        <f>L41</f>
        <v>70</v>
      </c>
      <c r="G70" s="66">
        <v>14.25</v>
      </c>
      <c r="H70" s="66">
        <v>17.25</v>
      </c>
      <c r="I70" s="66">
        <v>20.25</v>
      </c>
      <c r="J70" s="66">
        <v>23.25</v>
      </c>
      <c r="K70" s="66">
        <v>27</v>
      </c>
      <c r="L70" s="66">
        <v>27</v>
      </c>
      <c r="M70" s="66">
        <v>27.75</v>
      </c>
      <c r="N70" s="66">
        <v>30</v>
      </c>
      <c r="O70" s="66">
        <v>33</v>
      </c>
      <c r="P70" s="66">
        <v>33</v>
      </c>
      <c r="Q70" s="66">
        <v>32.25</v>
      </c>
      <c r="R70" s="66">
        <v>33</v>
      </c>
      <c r="S70" s="66">
        <v>33</v>
      </c>
      <c r="T70" s="66">
        <v>33.75</v>
      </c>
      <c r="U70" s="66">
        <v>35.25</v>
      </c>
      <c r="V70" s="66">
        <v>37.5</v>
      </c>
      <c r="W70" s="54"/>
    </row>
    <row r="71" spans="2:23" x14ac:dyDescent="0.25">
      <c r="B71" s="53"/>
      <c r="C71" s="7"/>
      <c r="D71" s="7"/>
      <c r="E71" s="7"/>
      <c r="F71" s="32">
        <f>M41</f>
        <v>95</v>
      </c>
      <c r="G71" s="66">
        <v>10.5</v>
      </c>
      <c r="H71" s="66">
        <v>14.25</v>
      </c>
      <c r="I71" s="66">
        <v>18</v>
      </c>
      <c r="J71" s="66">
        <v>21.75</v>
      </c>
      <c r="K71" s="66">
        <v>25.5</v>
      </c>
      <c r="L71" s="66">
        <v>26.25</v>
      </c>
      <c r="M71" s="66">
        <v>26.25</v>
      </c>
      <c r="N71" s="66">
        <v>28.5</v>
      </c>
      <c r="O71" s="66">
        <v>30.75</v>
      </c>
      <c r="P71" s="66">
        <v>31.5</v>
      </c>
      <c r="Q71" s="66">
        <v>30.75</v>
      </c>
      <c r="R71" s="66">
        <v>31.5</v>
      </c>
      <c r="S71" s="66">
        <v>32.25</v>
      </c>
      <c r="T71" s="66">
        <v>32.25</v>
      </c>
      <c r="U71" s="66">
        <v>34.5</v>
      </c>
      <c r="V71" s="66">
        <v>36.75</v>
      </c>
      <c r="W71" s="54"/>
    </row>
    <row r="72" spans="2:23" x14ac:dyDescent="0.25">
      <c r="B72" s="53"/>
      <c r="C72" s="7"/>
      <c r="D72" s="7"/>
      <c r="E72" s="7"/>
      <c r="F72" s="32">
        <f>N41</f>
        <v>125</v>
      </c>
      <c r="G72" s="66">
        <v>6.75</v>
      </c>
      <c r="H72" s="66">
        <v>11.25</v>
      </c>
      <c r="I72" s="66">
        <v>15.75</v>
      </c>
      <c r="J72" s="66">
        <v>21</v>
      </c>
      <c r="K72" s="66">
        <v>24</v>
      </c>
      <c r="L72" s="66">
        <v>24</v>
      </c>
      <c r="M72" s="66">
        <v>24</v>
      </c>
      <c r="N72" s="66">
        <v>27.75</v>
      </c>
      <c r="O72" s="66">
        <v>30</v>
      </c>
      <c r="P72" s="66">
        <v>30</v>
      </c>
      <c r="Q72" s="66">
        <v>30.75</v>
      </c>
      <c r="R72" s="66">
        <v>30.75</v>
      </c>
      <c r="S72" s="66">
        <v>30.75</v>
      </c>
      <c r="T72" s="66">
        <v>31.5</v>
      </c>
      <c r="U72" s="66">
        <v>33.75</v>
      </c>
      <c r="V72" s="66">
        <v>37.5</v>
      </c>
      <c r="W72" s="54"/>
    </row>
    <row r="73" spans="2:23" x14ac:dyDescent="0.25">
      <c r="B73" s="53"/>
      <c r="C73" s="7"/>
      <c r="D73" s="7"/>
      <c r="E73" s="7"/>
      <c r="F73" s="32">
        <f>O41</f>
        <v>155</v>
      </c>
      <c r="G73" s="66">
        <v>6</v>
      </c>
      <c r="H73" s="66">
        <v>11.25</v>
      </c>
      <c r="I73" s="66">
        <v>16.5</v>
      </c>
      <c r="J73" s="66">
        <v>20.25</v>
      </c>
      <c r="K73" s="66">
        <v>21.75</v>
      </c>
      <c r="L73" s="66">
        <v>21.75</v>
      </c>
      <c r="M73" s="66">
        <v>22.5</v>
      </c>
      <c r="N73" s="66">
        <v>25.5</v>
      </c>
      <c r="O73" s="66">
        <v>28.5</v>
      </c>
      <c r="P73" s="66">
        <v>29.25</v>
      </c>
      <c r="Q73" s="66">
        <v>29.25</v>
      </c>
      <c r="R73" s="66">
        <v>30</v>
      </c>
      <c r="S73" s="66">
        <v>30</v>
      </c>
      <c r="T73" s="66">
        <v>30</v>
      </c>
      <c r="U73" s="66">
        <v>33</v>
      </c>
      <c r="V73" s="66">
        <v>37.5</v>
      </c>
      <c r="W73" s="54"/>
    </row>
    <row r="74" spans="2:23" x14ac:dyDescent="0.25">
      <c r="B74" s="53"/>
      <c r="C74" s="7"/>
      <c r="D74" s="7"/>
      <c r="E74" s="7"/>
      <c r="F74" s="32">
        <f>P41</f>
        <v>175</v>
      </c>
      <c r="G74" s="66">
        <v>6</v>
      </c>
      <c r="H74" s="66">
        <v>11.25</v>
      </c>
      <c r="I74" s="66">
        <v>16.5</v>
      </c>
      <c r="J74" s="66">
        <v>19.5</v>
      </c>
      <c r="K74" s="66">
        <v>20.25</v>
      </c>
      <c r="L74" s="66">
        <v>20.25</v>
      </c>
      <c r="M74" s="66">
        <v>21</v>
      </c>
      <c r="N74" s="66">
        <v>24</v>
      </c>
      <c r="O74" s="66">
        <v>27.75</v>
      </c>
      <c r="P74" s="66">
        <v>28.5</v>
      </c>
      <c r="Q74" s="66">
        <v>28.5</v>
      </c>
      <c r="R74" s="66">
        <v>29.25</v>
      </c>
      <c r="S74" s="66">
        <v>29.25</v>
      </c>
      <c r="T74" s="66">
        <v>30</v>
      </c>
      <c r="U74" s="66">
        <v>32.25</v>
      </c>
      <c r="V74" s="66">
        <v>38.25</v>
      </c>
      <c r="W74" s="54"/>
    </row>
    <row r="75" spans="2:23" x14ac:dyDescent="0.25">
      <c r="B75" s="53"/>
      <c r="C75" s="7"/>
      <c r="D75" s="7"/>
      <c r="E75" s="7"/>
      <c r="F75" s="32">
        <f>Q41</f>
        <v>190</v>
      </c>
      <c r="G75" s="66">
        <v>5.25</v>
      </c>
      <c r="H75" s="66">
        <v>11.25</v>
      </c>
      <c r="I75" s="66">
        <v>16.5</v>
      </c>
      <c r="J75" s="66">
        <v>19.5</v>
      </c>
      <c r="K75" s="66">
        <v>19.5</v>
      </c>
      <c r="L75" s="66">
        <v>19.5</v>
      </c>
      <c r="M75" s="66">
        <v>20.25</v>
      </c>
      <c r="N75" s="66">
        <v>23.25</v>
      </c>
      <c r="O75" s="66">
        <v>27</v>
      </c>
      <c r="P75" s="66">
        <v>27.75</v>
      </c>
      <c r="Q75" s="66">
        <v>27.75</v>
      </c>
      <c r="R75" s="66">
        <v>28.5</v>
      </c>
      <c r="S75" s="66">
        <v>29.25</v>
      </c>
      <c r="T75" s="66">
        <v>29.25</v>
      </c>
      <c r="U75" s="66">
        <v>32.25</v>
      </c>
      <c r="V75" s="66">
        <v>38.25</v>
      </c>
      <c r="W75" s="54"/>
    </row>
    <row r="76" spans="2:23" x14ac:dyDescent="0.25">
      <c r="B76" s="53"/>
      <c r="C76" s="7"/>
      <c r="D76" s="7"/>
      <c r="E76" s="7"/>
      <c r="F76" s="7" t="s">
        <v>29</v>
      </c>
      <c r="G76" s="7" t="s">
        <v>29</v>
      </c>
      <c r="H76" s="7"/>
      <c r="I76" s="7"/>
      <c r="J76" s="7"/>
      <c r="K76" s="7"/>
      <c r="L76" s="7"/>
      <c r="M76" s="7"/>
      <c r="N76" s="7"/>
      <c r="O76" s="7"/>
      <c r="P76" s="7"/>
      <c r="Q76" s="7"/>
      <c r="R76" s="7"/>
      <c r="S76" s="7"/>
      <c r="T76" s="7"/>
      <c r="U76" s="7"/>
      <c r="V76" s="7"/>
      <c r="W76" s="54"/>
    </row>
    <row r="77" spans="2:23" x14ac:dyDescent="0.25">
      <c r="B77" s="53"/>
      <c r="C77" s="7"/>
      <c r="D77" s="7"/>
      <c r="E77" s="7"/>
      <c r="F77" s="7" t="s">
        <v>29</v>
      </c>
      <c r="G77" s="7" t="s">
        <v>44</v>
      </c>
      <c r="H77" s="7"/>
      <c r="I77" s="7"/>
      <c r="J77" s="7"/>
      <c r="K77" s="7"/>
      <c r="L77" s="7"/>
      <c r="M77" s="7"/>
      <c r="N77" s="7"/>
      <c r="O77" s="7"/>
      <c r="P77" s="7"/>
      <c r="Q77" s="7"/>
      <c r="R77" s="7"/>
      <c r="S77" s="7"/>
      <c r="T77" s="7"/>
      <c r="U77" s="7"/>
      <c r="V77" s="7"/>
      <c r="W77" s="54"/>
    </row>
    <row r="78" spans="2:23" x14ac:dyDescent="0.25">
      <c r="B78" s="53"/>
      <c r="C78" s="61" t="s">
        <v>47</v>
      </c>
      <c r="D78" s="93" t="s">
        <v>45</v>
      </c>
      <c r="E78" s="94"/>
      <c r="F78" s="7" t="s">
        <v>29</v>
      </c>
      <c r="G78" s="48">
        <v>600</v>
      </c>
      <c r="H78" s="48">
        <v>800</v>
      </c>
      <c r="I78" s="48">
        <v>1000</v>
      </c>
      <c r="J78" s="48">
        <v>1240</v>
      </c>
      <c r="K78" s="48">
        <v>1520</v>
      </c>
      <c r="L78" s="48">
        <v>1760</v>
      </c>
      <c r="M78" s="48">
        <v>2000</v>
      </c>
      <c r="N78" s="48">
        <v>2520</v>
      </c>
      <c r="O78" s="48">
        <v>3000</v>
      </c>
      <c r="P78" s="48">
        <v>3520</v>
      </c>
      <c r="Q78" s="48">
        <v>4000</v>
      </c>
      <c r="R78" s="48">
        <v>4520</v>
      </c>
      <c r="S78" s="48">
        <v>5000</v>
      </c>
      <c r="T78" s="48">
        <v>5720</v>
      </c>
      <c r="U78" s="48">
        <v>6000</v>
      </c>
      <c r="V78" s="48">
        <f t="shared" ref="V78" si="2">V64</f>
        <v>6800</v>
      </c>
      <c r="W78" s="54"/>
    </row>
    <row r="79" spans="2:23" x14ac:dyDescent="0.25">
      <c r="B79" s="53"/>
      <c r="C79" s="7"/>
      <c r="D79" s="7"/>
      <c r="E79" s="7"/>
      <c r="F79" s="49">
        <f>G42</f>
        <v>33</v>
      </c>
      <c r="G79" s="33">
        <v>20.25</v>
      </c>
      <c r="H79" s="34">
        <v>23.25</v>
      </c>
      <c r="I79" s="34">
        <v>25.5</v>
      </c>
      <c r="J79" s="34">
        <v>28.5</v>
      </c>
      <c r="K79" s="34">
        <v>31.5</v>
      </c>
      <c r="L79" s="34">
        <v>30.75</v>
      </c>
      <c r="M79" s="34">
        <v>31.5</v>
      </c>
      <c r="N79" s="34">
        <v>34.5</v>
      </c>
      <c r="O79" s="34">
        <v>38.25</v>
      </c>
      <c r="P79" s="34">
        <v>38.25</v>
      </c>
      <c r="Q79" s="34">
        <v>36</v>
      </c>
      <c r="R79" s="34">
        <v>36.75</v>
      </c>
      <c r="S79" s="34">
        <v>37.5</v>
      </c>
      <c r="T79" s="34">
        <v>37.5</v>
      </c>
      <c r="U79" s="34">
        <v>39</v>
      </c>
      <c r="V79" s="34">
        <v>45</v>
      </c>
      <c r="W79" s="54"/>
    </row>
    <row r="80" spans="2:23" x14ac:dyDescent="0.25">
      <c r="B80" s="101" t="s">
        <v>53</v>
      </c>
      <c r="C80" s="88"/>
      <c r="D80" s="88"/>
      <c r="E80" s="7"/>
      <c r="F80" s="49">
        <f>H42</f>
        <v>44</v>
      </c>
      <c r="G80" s="35">
        <v>18.75</v>
      </c>
      <c r="H80" s="36">
        <v>21</v>
      </c>
      <c r="I80" s="36">
        <v>24</v>
      </c>
      <c r="J80" s="36">
        <v>27</v>
      </c>
      <c r="K80" s="36">
        <v>30</v>
      </c>
      <c r="L80" s="36">
        <v>29.25</v>
      </c>
      <c r="M80" s="36">
        <v>30</v>
      </c>
      <c r="N80" s="36">
        <v>33</v>
      </c>
      <c r="O80" s="36">
        <v>36</v>
      </c>
      <c r="P80" s="36">
        <v>36</v>
      </c>
      <c r="Q80" s="36">
        <v>34.5</v>
      </c>
      <c r="R80" s="36">
        <v>35.25</v>
      </c>
      <c r="S80" s="36">
        <v>36</v>
      </c>
      <c r="T80" s="36">
        <v>36</v>
      </c>
      <c r="U80" s="36">
        <v>37.5</v>
      </c>
      <c r="V80" s="36">
        <v>41.25</v>
      </c>
      <c r="W80" s="54"/>
    </row>
    <row r="81" spans="2:23" x14ac:dyDescent="0.25">
      <c r="B81" s="101"/>
      <c r="C81" s="88"/>
      <c r="D81" s="88"/>
      <c r="E81" s="7"/>
      <c r="F81" s="49">
        <f>I42</f>
        <v>56</v>
      </c>
      <c r="G81" s="35">
        <v>17.25</v>
      </c>
      <c r="H81" s="36">
        <v>19.5</v>
      </c>
      <c r="I81" s="36">
        <v>21.75</v>
      </c>
      <c r="J81" s="36">
        <v>24.75</v>
      </c>
      <c r="K81" s="36">
        <v>27.75</v>
      </c>
      <c r="L81" s="36">
        <v>27.75</v>
      </c>
      <c r="M81" s="36">
        <v>28.5</v>
      </c>
      <c r="N81" s="36">
        <v>30.75</v>
      </c>
      <c r="O81" s="36">
        <v>33.75</v>
      </c>
      <c r="P81" s="36">
        <v>33.75</v>
      </c>
      <c r="Q81" s="36">
        <v>33</v>
      </c>
      <c r="R81" s="36">
        <v>33.75</v>
      </c>
      <c r="S81" s="36">
        <v>33.75</v>
      </c>
      <c r="T81" s="36">
        <v>34.5</v>
      </c>
      <c r="U81" s="36">
        <v>36</v>
      </c>
      <c r="V81" s="36">
        <v>39</v>
      </c>
      <c r="W81" s="54"/>
    </row>
    <row r="82" spans="2:23" x14ac:dyDescent="0.25">
      <c r="B82" s="101"/>
      <c r="C82" s="88"/>
      <c r="D82" s="88"/>
      <c r="E82" s="7"/>
      <c r="F82" s="49">
        <f>J42</f>
        <v>67</v>
      </c>
      <c r="G82" s="35">
        <v>15</v>
      </c>
      <c r="H82" s="36">
        <v>18</v>
      </c>
      <c r="I82" s="36">
        <v>20.25</v>
      </c>
      <c r="J82" s="36">
        <v>23.25</v>
      </c>
      <c r="K82" s="36">
        <v>27</v>
      </c>
      <c r="L82" s="36">
        <v>27</v>
      </c>
      <c r="M82" s="36">
        <v>27.75</v>
      </c>
      <c r="N82" s="36">
        <v>30</v>
      </c>
      <c r="O82" s="36">
        <v>33</v>
      </c>
      <c r="P82" s="36">
        <v>33</v>
      </c>
      <c r="Q82" s="36">
        <v>32.25</v>
      </c>
      <c r="R82" s="36">
        <v>33</v>
      </c>
      <c r="S82" s="36">
        <v>33</v>
      </c>
      <c r="T82" s="36">
        <v>33.75</v>
      </c>
      <c r="U82" s="36">
        <v>35.25</v>
      </c>
      <c r="V82" s="36">
        <v>37.5</v>
      </c>
      <c r="W82" s="54"/>
    </row>
    <row r="83" spans="2:23" x14ac:dyDescent="0.25">
      <c r="B83" s="101"/>
      <c r="C83" s="88"/>
      <c r="D83" s="88"/>
      <c r="E83" s="7"/>
      <c r="F83" s="49">
        <f>K42</f>
        <v>78</v>
      </c>
      <c r="G83" s="35">
        <v>13.5</v>
      </c>
      <c r="H83" s="36">
        <v>16.5</v>
      </c>
      <c r="I83" s="36">
        <v>19.5</v>
      </c>
      <c r="J83" s="36">
        <v>22.5</v>
      </c>
      <c r="K83" s="36">
        <v>26.25</v>
      </c>
      <c r="L83" s="36">
        <v>27</v>
      </c>
      <c r="M83" s="36">
        <v>27</v>
      </c>
      <c r="N83" s="36">
        <v>29.25</v>
      </c>
      <c r="O83" s="36">
        <v>32.25</v>
      </c>
      <c r="P83" s="36">
        <v>32.25</v>
      </c>
      <c r="Q83" s="36">
        <v>31.5</v>
      </c>
      <c r="R83" s="36">
        <v>32.25</v>
      </c>
      <c r="S83" s="36">
        <v>33</v>
      </c>
      <c r="T83" s="36">
        <v>33</v>
      </c>
      <c r="U83" s="36">
        <v>35.25</v>
      </c>
      <c r="V83" s="36">
        <v>37.5</v>
      </c>
      <c r="W83" s="54"/>
    </row>
    <row r="84" spans="2:23" x14ac:dyDescent="0.25">
      <c r="B84" s="101"/>
      <c r="C84" s="88"/>
      <c r="D84" s="88"/>
      <c r="E84" s="7"/>
      <c r="F84" s="49">
        <f>L$42</f>
        <v>89</v>
      </c>
      <c r="G84" s="35">
        <v>12.75</v>
      </c>
      <c r="H84" s="36">
        <v>15</v>
      </c>
      <c r="I84" s="36">
        <v>18.75</v>
      </c>
      <c r="J84" s="36">
        <v>21.75</v>
      </c>
      <c r="K84" s="36">
        <v>25.5</v>
      </c>
      <c r="L84" s="36">
        <v>26.25</v>
      </c>
      <c r="M84" s="36">
        <v>26.25</v>
      </c>
      <c r="N84" s="36">
        <v>28.5</v>
      </c>
      <c r="O84" s="36">
        <v>31.5</v>
      </c>
      <c r="P84" s="36">
        <v>31.5</v>
      </c>
      <c r="Q84" s="36">
        <v>30.75</v>
      </c>
      <c r="R84" s="36">
        <v>31.5</v>
      </c>
      <c r="S84" s="36">
        <v>32.25</v>
      </c>
      <c r="T84" s="36">
        <v>32.25</v>
      </c>
      <c r="U84" s="36">
        <v>34.5</v>
      </c>
      <c r="V84" s="36">
        <v>36.75</v>
      </c>
      <c r="W84" s="54"/>
    </row>
    <row r="85" spans="2:23" x14ac:dyDescent="0.25">
      <c r="B85" s="101"/>
      <c r="C85" s="88"/>
      <c r="D85" s="88"/>
      <c r="E85" s="7"/>
      <c r="F85" s="49">
        <f>M$42</f>
        <v>123</v>
      </c>
      <c r="G85" s="35">
        <v>11.25</v>
      </c>
      <c r="H85" s="36">
        <v>13.5</v>
      </c>
      <c r="I85" s="36">
        <v>16.5</v>
      </c>
      <c r="J85" s="36">
        <v>21</v>
      </c>
      <c r="K85" s="36">
        <v>24</v>
      </c>
      <c r="L85" s="36">
        <v>24</v>
      </c>
      <c r="M85" s="36">
        <v>24</v>
      </c>
      <c r="N85" s="36">
        <v>27.75</v>
      </c>
      <c r="O85" s="36">
        <v>30</v>
      </c>
      <c r="P85" s="36">
        <v>30</v>
      </c>
      <c r="Q85" s="36">
        <v>30.75</v>
      </c>
      <c r="R85" s="36">
        <v>30.75</v>
      </c>
      <c r="S85" s="36">
        <v>30.75</v>
      </c>
      <c r="T85" s="36">
        <v>31.5</v>
      </c>
      <c r="U85" s="36">
        <v>33.75</v>
      </c>
      <c r="V85" s="36">
        <v>37.5</v>
      </c>
      <c r="W85" s="54"/>
    </row>
    <row r="86" spans="2:23" x14ac:dyDescent="0.25">
      <c r="B86" s="101"/>
      <c r="C86" s="88"/>
      <c r="D86" s="88"/>
      <c r="E86" s="7"/>
      <c r="F86" s="49">
        <f>N$42</f>
        <v>145</v>
      </c>
      <c r="G86" s="35">
        <v>9.75</v>
      </c>
      <c r="H86" s="36">
        <v>12</v>
      </c>
      <c r="I86" s="36">
        <v>16.5</v>
      </c>
      <c r="J86" s="36">
        <v>20.25</v>
      </c>
      <c r="K86" s="36">
        <v>22.5</v>
      </c>
      <c r="L86" s="36">
        <v>22.5</v>
      </c>
      <c r="M86" s="36">
        <v>23.25</v>
      </c>
      <c r="N86" s="36">
        <v>26.25</v>
      </c>
      <c r="O86" s="36">
        <v>29.25</v>
      </c>
      <c r="P86" s="36">
        <v>29.25</v>
      </c>
      <c r="Q86" s="36">
        <v>30</v>
      </c>
      <c r="R86" s="36">
        <v>30</v>
      </c>
      <c r="S86" s="36">
        <v>30</v>
      </c>
      <c r="T86" s="36">
        <v>30.75</v>
      </c>
      <c r="U86" s="36">
        <v>33</v>
      </c>
      <c r="V86" s="36">
        <v>37.5</v>
      </c>
      <c r="W86" s="54"/>
    </row>
    <row r="87" spans="2:23" x14ac:dyDescent="0.25">
      <c r="B87" s="101"/>
      <c r="C87" s="88"/>
      <c r="D87" s="88"/>
      <c r="E87" s="7"/>
      <c r="F87" s="49">
        <f>O$42</f>
        <v>167</v>
      </c>
      <c r="G87" s="35">
        <v>9</v>
      </c>
      <c r="H87" s="36">
        <v>11.25</v>
      </c>
      <c r="I87" s="36">
        <v>16.5</v>
      </c>
      <c r="J87" s="36">
        <v>19.5</v>
      </c>
      <c r="K87" s="36">
        <v>21</v>
      </c>
      <c r="L87" s="36">
        <v>21</v>
      </c>
      <c r="M87" s="36">
        <v>21.75</v>
      </c>
      <c r="N87" s="36">
        <v>24.75</v>
      </c>
      <c r="O87" s="36">
        <v>27.75</v>
      </c>
      <c r="P87" s="36">
        <v>28.5</v>
      </c>
      <c r="Q87" s="36">
        <v>28.5</v>
      </c>
      <c r="R87" s="36">
        <v>29.25</v>
      </c>
      <c r="S87" s="36">
        <v>29.25</v>
      </c>
      <c r="T87" s="36">
        <v>30</v>
      </c>
      <c r="U87" s="36">
        <v>32.25</v>
      </c>
      <c r="V87" s="36">
        <v>38.25</v>
      </c>
      <c r="W87" s="54"/>
    </row>
    <row r="88" spans="2:23" x14ac:dyDescent="0.25">
      <c r="B88" s="101"/>
      <c r="C88" s="88"/>
      <c r="D88" s="88"/>
      <c r="E88" s="7"/>
      <c r="F88" s="49">
        <f>P$42</f>
        <v>190</v>
      </c>
      <c r="G88" s="35">
        <v>8.25</v>
      </c>
      <c r="H88" s="36">
        <v>11.25</v>
      </c>
      <c r="I88" s="36">
        <v>16.5</v>
      </c>
      <c r="J88" s="36">
        <v>19.5</v>
      </c>
      <c r="K88" s="36">
        <v>19.5</v>
      </c>
      <c r="L88" s="36">
        <v>19.5</v>
      </c>
      <c r="M88" s="36">
        <v>20.25</v>
      </c>
      <c r="N88" s="36">
        <v>23.25</v>
      </c>
      <c r="O88" s="36">
        <v>27</v>
      </c>
      <c r="P88" s="36">
        <v>27.75</v>
      </c>
      <c r="Q88" s="36">
        <v>27.75</v>
      </c>
      <c r="R88" s="36">
        <v>28.5</v>
      </c>
      <c r="S88" s="36">
        <v>29.25</v>
      </c>
      <c r="T88" s="36">
        <v>29.25</v>
      </c>
      <c r="U88" s="36">
        <v>32.25</v>
      </c>
      <c r="V88" s="36">
        <v>38.25</v>
      </c>
      <c r="W88" s="54"/>
    </row>
    <row r="89" spans="2:23" x14ac:dyDescent="0.25">
      <c r="B89" s="53"/>
      <c r="C89" s="7"/>
      <c r="D89" s="7"/>
      <c r="E89" s="7"/>
      <c r="F89" s="49">
        <f>Q$42</f>
        <v>235</v>
      </c>
      <c r="G89" s="35">
        <v>7.5</v>
      </c>
      <c r="H89" s="36">
        <v>11.25</v>
      </c>
      <c r="I89" s="36">
        <v>16.5</v>
      </c>
      <c r="J89" s="36">
        <v>19.5</v>
      </c>
      <c r="K89" s="36">
        <v>17.25</v>
      </c>
      <c r="L89" s="36">
        <v>17.25</v>
      </c>
      <c r="M89" s="36">
        <v>18</v>
      </c>
      <c r="N89" s="36">
        <v>21</v>
      </c>
      <c r="O89" s="36">
        <v>24.75</v>
      </c>
      <c r="P89" s="36">
        <v>25.5</v>
      </c>
      <c r="Q89" s="36">
        <v>25.5</v>
      </c>
      <c r="R89" s="36">
        <v>26.25</v>
      </c>
      <c r="S89" s="36">
        <v>29.25</v>
      </c>
      <c r="T89" s="36">
        <v>27</v>
      </c>
      <c r="U89" s="36">
        <v>32.25</v>
      </c>
      <c r="V89" s="36">
        <v>38.25</v>
      </c>
      <c r="W89" s="54"/>
    </row>
    <row r="90" spans="2:23" x14ac:dyDescent="0.25">
      <c r="B90" s="53"/>
      <c r="C90" s="7"/>
      <c r="D90" s="7" t="s">
        <v>40</v>
      </c>
      <c r="E90" s="7"/>
      <c r="F90" s="7"/>
      <c r="G90" s="7"/>
      <c r="H90" s="7"/>
      <c r="I90" s="7"/>
      <c r="J90" s="7"/>
      <c r="K90" s="7"/>
      <c r="L90" s="7"/>
      <c r="M90" s="7"/>
      <c r="N90" s="7"/>
      <c r="O90" s="7"/>
      <c r="P90" s="7"/>
      <c r="Q90" s="7"/>
      <c r="R90" s="7"/>
      <c r="S90" s="7"/>
      <c r="T90" s="7"/>
      <c r="U90" s="7"/>
      <c r="V90" s="7"/>
      <c r="W90" s="54"/>
    </row>
    <row r="91" spans="2:23" ht="15.75" thickBot="1" x14ac:dyDescent="0.3">
      <c r="B91" s="58"/>
      <c r="C91" s="59"/>
      <c r="D91" s="59"/>
      <c r="E91" s="59"/>
      <c r="F91" s="59"/>
      <c r="G91" s="59"/>
      <c r="H91" s="59"/>
      <c r="I91" s="59"/>
      <c r="J91" s="59"/>
      <c r="K91" s="59"/>
      <c r="L91" s="59"/>
      <c r="M91" s="59"/>
      <c r="N91" s="59"/>
      <c r="O91" s="59"/>
      <c r="P91" s="59"/>
      <c r="Q91" s="59"/>
      <c r="R91" s="59"/>
      <c r="S91" s="59"/>
      <c r="T91" s="59"/>
      <c r="U91" s="59"/>
      <c r="V91" s="59"/>
      <c r="W91" s="60"/>
    </row>
    <row r="92" spans="2:23" ht="16.5" thickTop="1" thickBot="1" x14ac:dyDescent="0.3"/>
    <row r="93" spans="2:23" ht="15.75" thickTop="1" x14ac:dyDescent="0.25">
      <c r="B93" s="50"/>
      <c r="C93" s="51"/>
      <c r="D93" s="51"/>
      <c r="E93" s="51"/>
      <c r="F93" s="51"/>
      <c r="G93" s="51"/>
      <c r="H93" s="51"/>
      <c r="I93" s="51"/>
      <c r="J93" s="51"/>
      <c r="K93" s="51"/>
      <c r="L93" s="51"/>
      <c r="M93" s="51"/>
      <c r="N93" s="51"/>
      <c r="O93" s="51"/>
      <c r="P93" s="51"/>
      <c r="Q93" s="51"/>
      <c r="R93" s="51"/>
      <c r="S93" s="51"/>
      <c r="T93" s="51"/>
      <c r="U93" s="51"/>
      <c r="V93" s="51"/>
      <c r="W93" s="52"/>
    </row>
    <row r="94" spans="2:23" x14ac:dyDescent="0.25">
      <c r="B94" s="53"/>
      <c r="C94" s="63" t="s">
        <v>36</v>
      </c>
      <c r="D94" s="7"/>
      <c r="E94" s="7"/>
      <c r="F94" s="7"/>
      <c r="G94" s="65">
        <v>1000</v>
      </c>
      <c r="H94" s="65">
        <v>1720</v>
      </c>
      <c r="I94" s="65">
        <v>2000</v>
      </c>
      <c r="J94" s="65">
        <v>2100</v>
      </c>
      <c r="K94" s="65">
        <v>2200</v>
      </c>
      <c r="L94" s="65">
        <v>2520</v>
      </c>
      <c r="M94" s="65">
        <v>3000</v>
      </c>
      <c r="N94" s="65">
        <v>3520</v>
      </c>
      <c r="O94" s="65">
        <v>4000</v>
      </c>
      <c r="P94" s="65">
        <v>4520</v>
      </c>
      <c r="Q94" s="65">
        <v>5000</v>
      </c>
      <c r="R94" s="65">
        <v>5520</v>
      </c>
      <c r="S94" s="65">
        <v>5900</v>
      </c>
      <c r="T94" s="65">
        <v>6000</v>
      </c>
      <c r="U94" s="65">
        <v>6400</v>
      </c>
      <c r="V94" s="65">
        <v>6800</v>
      </c>
      <c r="W94" s="54"/>
    </row>
    <row r="95" spans="2:23" hidden="1" x14ac:dyDescent="0.25">
      <c r="B95" s="53"/>
      <c r="C95" s="7"/>
      <c r="D95" s="7"/>
      <c r="E95" s="7"/>
      <c r="G95" s="80">
        <f>ROUNDUP(MAX(Weights!D36:D51)+1,0)</f>
        <v>226</v>
      </c>
      <c r="H95" s="80">
        <f>ROUNDUP(MAX(Weights!E36:E51)+1,0)</f>
        <v>228</v>
      </c>
      <c r="I95" s="80">
        <f>ROUNDUP(MAX(Weights!F36:F51)+1,0)</f>
        <v>228</v>
      </c>
      <c r="J95" s="80">
        <f>ROUNDUP(MAX(Weights!G36:G51)+1,0)</f>
        <v>229</v>
      </c>
      <c r="K95" s="80">
        <f>ROUNDUP(MAX(Weights!H36:H51)+1,0)</f>
        <v>229</v>
      </c>
      <c r="L95" s="80">
        <f>ROUNDUP(MAX(Weights!I36:I51)+1,0)</f>
        <v>228</v>
      </c>
      <c r="M95" s="80">
        <f>ROUNDUP(MAX(Weights!J36:J51)+1,0)</f>
        <v>229</v>
      </c>
      <c r="N95" s="80">
        <f>ROUNDUP(MAX(Weights!K36:K51)+1,0)</f>
        <v>230</v>
      </c>
      <c r="O95" s="80">
        <f>ROUNDUP(MAX(Weights!L36:L51)+1,0)</f>
        <v>231</v>
      </c>
      <c r="P95" s="80">
        <f>ROUNDUP(MAX(Weights!M36:M51)+1,0)</f>
        <v>232</v>
      </c>
      <c r="Q95" s="80">
        <f>ROUNDUP(MAX(Weights!N36:N51)+1,0)</f>
        <v>232</v>
      </c>
      <c r="R95" s="80">
        <f>ROUNDUP(MAX(Weights!O36:O51)+1,0)</f>
        <v>233</v>
      </c>
      <c r="S95" s="80">
        <f>ROUNDUP(MAX(Weights!P36:P51)+1,0)</f>
        <v>234</v>
      </c>
      <c r="T95" s="80">
        <f>ROUNDUP(MAX(Weights!Q36:Q51)+1,0)</f>
        <v>234</v>
      </c>
      <c r="U95" s="80">
        <f>ROUNDUP(MAX(Weights!R36:R51)+1,0)</f>
        <v>234</v>
      </c>
      <c r="V95" s="80">
        <f>ROUNDUP(MAX(Weights!S36:S51)+1,0)</f>
        <v>235</v>
      </c>
      <c r="W95" s="54"/>
    </row>
    <row r="96" spans="2:23" x14ac:dyDescent="0.25">
      <c r="B96" s="53"/>
      <c r="C96" s="7"/>
      <c r="E96" s="7"/>
      <c r="F96" s="48" t="s">
        <v>37</v>
      </c>
      <c r="G96" s="7">
        <f>ROUND(Calc!D31,0)</f>
        <v>218</v>
      </c>
      <c r="H96" s="7">
        <f>ROUND(Calc!E31,0)</f>
        <v>219</v>
      </c>
      <c r="I96" s="7">
        <f>ROUND(Calc!F31,0)</f>
        <v>219</v>
      </c>
      <c r="J96" s="7">
        <f>ROUND(Calc!G31,0)</f>
        <v>219</v>
      </c>
      <c r="K96" s="7">
        <f>ROUND(Calc!H31,0)</f>
        <v>219</v>
      </c>
      <c r="L96" s="7">
        <f>ROUND(Calc!I31,0)</f>
        <v>219</v>
      </c>
      <c r="M96" s="7">
        <f>ROUND(Calc!J31,0)</f>
        <v>219</v>
      </c>
      <c r="N96" s="7">
        <f>ROUND(Calc!K31,0)</f>
        <v>220</v>
      </c>
      <c r="O96" s="7">
        <f>ROUND(Calc!L31,0)</f>
        <v>221</v>
      </c>
      <c r="P96" s="7">
        <f>ROUND(Calc!M31,0)</f>
        <v>221</v>
      </c>
      <c r="Q96" s="7">
        <f>ROUND(Calc!N31,0)</f>
        <v>221</v>
      </c>
      <c r="R96" s="7">
        <f>ROUND(Calc!O31,0)</f>
        <v>222</v>
      </c>
      <c r="S96" s="7">
        <f>ROUND(Calc!P31,0)</f>
        <v>222</v>
      </c>
      <c r="T96" s="7">
        <f>ROUND(Calc!Q31,0)</f>
        <v>222</v>
      </c>
      <c r="U96" s="7">
        <f>ROUND(Calc!R31,0)</f>
        <v>222</v>
      </c>
      <c r="V96" s="7">
        <f>ROUND(Calc!S31,0)</f>
        <v>223</v>
      </c>
      <c r="W96" s="54"/>
    </row>
    <row r="97" spans="2:23" x14ac:dyDescent="0.25">
      <c r="B97" s="53"/>
      <c r="C97" s="7"/>
      <c r="D97" s="7" t="s">
        <v>41</v>
      </c>
      <c r="E97" s="7"/>
      <c r="F97" s="7"/>
      <c r="G97" s="7"/>
      <c r="H97" s="7"/>
      <c r="I97" s="7"/>
      <c r="J97" s="7"/>
      <c r="K97" s="7"/>
      <c r="L97" s="7"/>
      <c r="M97" s="7"/>
      <c r="N97" s="7"/>
      <c r="O97" s="7"/>
      <c r="P97" s="7"/>
      <c r="Q97" s="7"/>
      <c r="R97" s="7"/>
      <c r="S97" s="7"/>
      <c r="T97" s="7"/>
      <c r="U97" s="7"/>
      <c r="V97" s="7"/>
      <c r="W97" s="54"/>
    </row>
    <row r="98" spans="2:23" ht="15.75" thickBot="1" x14ac:dyDescent="0.3">
      <c r="B98" s="53"/>
      <c r="C98" s="7"/>
      <c r="D98" s="7"/>
      <c r="E98" s="7"/>
      <c r="F98" s="7"/>
      <c r="G98" s="7"/>
      <c r="H98" s="7"/>
      <c r="I98" s="7"/>
      <c r="J98" s="7"/>
      <c r="K98" s="7"/>
      <c r="L98" s="7"/>
      <c r="M98" s="7"/>
      <c r="N98" s="7"/>
      <c r="O98" s="7"/>
      <c r="P98" s="7"/>
      <c r="Q98" s="7"/>
      <c r="R98" s="7"/>
      <c r="S98" s="7"/>
      <c r="T98" s="7"/>
      <c r="U98" s="7"/>
      <c r="V98" s="7"/>
      <c r="W98" s="54"/>
    </row>
    <row r="99" spans="2:23" ht="15.75" thickBot="1" x14ac:dyDescent="0.3">
      <c r="B99" s="53"/>
      <c r="C99" s="7"/>
      <c r="D99" s="95" t="s">
        <v>49</v>
      </c>
      <c r="E99" s="96"/>
      <c r="F99" s="97"/>
      <c r="G99" s="81">
        <f t="shared" ref="G99:V99" si="3">((10*(G96)+300)-1000)/1000</f>
        <v>1.48</v>
      </c>
      <c r="H99" s="81">
        <f t="shared" si="3"/>
        <v>1.49</v>
      </c>
      <c r="I99" s="81">
        <f t="shared" si="3"/>
        <v>1.49</v>
      </c>
      <c r="J99" s="81">
        <f t="shared" si="3"/>
        <v>1.49</v>
      </c>
      <c r="K99" s="81">
        <f t="shared" si="3"/>
        <v>1.49</v>
      </c>
      <c r="L99" s="81">
        <f t="shared" si="3"/>
        <v>1.49</v>
      </c>
      <c r="M99" s="81">
        <f t="shared" si="3"/>
        <v>1.49</v>
      </c>
      <c r="N99" s="81">
        <f t="shared" si="3"/>
        <v>1.5</v>
      </c>
      <c r="O99" s="81">
        <f t="shared" si="3"/>
        <v>1.51</v>
      </c>
      <c r="P99" s="81">
        <f t="shared" si="3"/>
        <v>1.51</v>
      </c>
      <c r="Q99" s="81">
        <f t="shared" si="3"/>
        <v>1.51</v>
      </c>
      <c r="R99" s="81">
        <f t="shared" si="3"/>
        <v>1.52</v>
      </c>
      <c r="S99" s="81">
        <f t="shared" si="3"/>
        <v>1.52</v>
      </c>
      <c r="T99" s="81">
        <f t="shared" si="3"/>
        <v>1.52</v>
      </c>
      <c r="U99" s="81">
        <f t="shared" si="3"/>
        <v>1.52</v>
      </c>
      <c r="V99" s="81">
        <f t="shared" si="3"/>
        <v>1.53</v>
      </c>
      <c r="W99" s="54"/>
    </row>
    <row r="100" spans="2:23" x14ac:dyDescent="0.25">
      <c r="B100" s="53"/>
      <c r="C100" s="7"/>
      <c r="D100" s="7"/>
      <c r="E100" s="7"/>
      <c r="F100" s="7"/>
      <c r="W100" s="54"/>
    </row>
    <row r="101" spans="2:23" x14ac:dyDescent="0.25">
      <c r="B101" s="53"/>
      <c r="C101" s="7"/>
      <c r="D101" s="88" t="s">
        <v>54</v>
      </c>
      <c r="E101" s="88"/>
      <c r="F101" s="88"/>
      <c r="G101" s="88"/>
      <c r="H101" s="88"/>
      <c r="I101" s="88"/>
      <c r="J101" s="88"/>
      <c r="K101" s="88"/>
      <c r="L101" s="88"/>
      <c r="M101" s="88"/>
      <c r="N101" s="88"/>
      <c r="O101" s="88"/>
      <c r="P101" s="88"/>
      <c r="Q101" s="88"/>
      <c r="R101" s="88"/>
      <c r="S101" s="88"/>
      <c r="T101" s="88"/>
      <c r="U101" s="88"/>
      <c r="V101" s="88"/>
      <c r="W101" s="54"/>
    </row>
    <row r="102" spans="2:23" ht="15.75" thickBot="1" x14ac:dyDescent="0.3">
      <c r="B102" s="58"/>
      <c r="C102" s="59"/>
      <c r="D102" s="59"/>
      <c r="E102" s="59"/>
      <c r="F102" s="59"/>
      <c r="G102" s="79"/>
      <c r="H102" s="79"/>
      <c r="I102" s="79"/>
      <c r="J102" s="79"/>
      <c r="K102" s="79"/>
      <c r="L102" s="79"/>
      <c r="M102" s="79"/>
      <c r="N102" s="79"/>
      <c r="O102" s="79"/>
      <c r="P102" s="79"/>
      <c r="Q102" s="79"/>
      <c r="R102" s="79"/>
      <c r="S102" s="79"/>
      <c r="T102" s="79"/>
      <c r="U102" s="79"/>
      <c r="V102" s="79"/>
      <c r="W102" s="60"/>
    </row>
    <row r="103" spans="2:23" ht="15.75" thickTop="1" x14ac:dyDescent="0.25"/>
  </sheetData>
  <sheetProtection password="FD37" sheet="1" objects="1" scenarios="1"/>
  <mergeCells count="15">
    <mergeCell ref="M3:P3"/>
    <mergeCell ref="M2:P2"/>
    <mergeCell ref="D101:V101"/>
    <mergeCell ref="G40:Q40"/>
    <mergeCell ref="E43:E58"/>
    <mergeCell ref="H7:J9"/>
    <mergeCell ref="H13:Q16"/>
    <mergeCell ref="S44:U58"/>
    <mergeCell ref="G18:V18"/>
    <mergeCell ref="E20:E35"/>
    <mergeCell ref="D78:E78"/>
    <mergeCell ref="D99:F99"/>
    <mergeCell ref="D37:F37"/>
    <mergeCell ref="B80:D88"/>
    <mergeCell ref="M4:P10"/>
  </mergeCells>
  <conditionalFormatting sqref="G43:Q58">
    <cfRule type="colorScale" priority="10">
      <colorScale>
        <cfvo type="min"/>
        <cfvo type="percentile" val="50"/>
        <cfvo type="max"/>
        <color rgb="FF63BE7B"/>
        <color rgb="FFFFEB84"/>
        <color rgb="FFF8696B"/>
      </colorScale>
    </cfRule>
  </conditionalFormatting>
  <conditionalFormatting sqref="G20:V35">
    <cfRule type="colorScale" priority="12">
      <colorScale>
        <cfvo type="min"/>
        <cfvo type="percentile" val="50"/>
        <cfvo type="max"/>
        <color rgb="FF63BE7B"/>
        <color rgb="FFFFEB84"/>
        <color rgb="FFF8696B"/>
      </colorScale>
    </cfRule>
  </conditionalFormatting>
  <conditionalFormatting sqref="G79:V89">
    <cfRule type="colorScale" priority="9">
      <colorScale>
        <cfvo type="min"/>
        <cfvo type="percentile" val="50"/>
        <cfvo type="max"/>
        <color rgb="FF63BE7B"/>
        <color rgb="FFFFEB84"/>
        <color rgb="FFF8696B"/>
      </colorScale>
    </cfRule>
  </conditionalFormatting>
  <conditionalFormatting sqref="G95:V95">
    <cfRule type="colorScale" priority="8">
      <colorScale>
        <cfvo type="min"/>
        <cfvo type="percentile" val="50"/>
        <cfvo type="max"/>
        <color rgb="FF63BE7B"/>
        <color rgb="FFFFEB84"/>
        <color rgb="FFF8696B"/>
      </colorScale>
    </cfRule>
    <cfRule type="iconSet" priority="6">
      <iconSet>
        <cfvo type="percent" val="0"/>
        <cfvo type="percent" val="33"/>
        <cfvo type="percent" val="67"/>
      </iconSet>
    </cfRule>
  </conditionalFormatting>
  <conditionalFormatting sqref="G96:V96">
    <cfRule type="colorScale" priority="7">
      <colorScale>
        <cfvo type="min"/>
        <cfvo type="percentile" val="50"/>
        <cfvo type="max"/>
        <color rgb="FF63BE7B"/>
        <color rgb="FFFFEB84"/>
        <color rgb="FFF8696B"/>
      </colorScale>
    </cfRule>
  </conditionalFormatting>
  <conditionalFormatting sqref="G99:V99">
    <cfRule type="cellIs" dxfId="0" priority="2" operator="greaterThan">
      <formula>1.54</formula>
    </cfRule>
  </conditionalFormatting>
  <dataValidations count="2">
    <dataValidation type="whole" allowBlank="1" showInputMessage="1" showErrorMessage="1" prompt="Values between 0 and 85" sqref="F16">
      <formula1>0</formula1>
      <formula2>85</formula2>
    </dataValidation>
    <dataValidation type="decimal" allowBlank="1" showInputMessage="1" showErrorMessage="1" prompt="Values between 0.5 and 1.5" sqref="F15">
      <formula1>0.5</formula1>
      <formula2>1.5</formula2>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Sheet1.OverrideCalc">
                <anchor moveWithCells="1" sizeWithCells="1">
                  <from>
                    <xdr:col>2</xdr:col>
                    <xdr:colOff>28575</xdr:colOff>
                    <xdr:row>94</xdr:row>
                    <xdr:rowOff>0</xdr:rowOff>
                  </from>
                  <to>
                    <xdr:col>3</xdr:col>
                    <xdr:colOff>0</xdr:colOff>
                    <xdr:row>95</xdr:row>
                    <xdr:rowOff>180975</xdr:rowOff>
                  </to>
                </anchor>
              </controlPr>
            </control>
          </mc:Choice>
        </mc:AlternateContent>
        <mc:AlternateContent xmlns:mc="http://schemas.openxmlformats.org/markup-compatibility/2006">
          <mc:Choice Requires="x14">
            <control shapeId="1031" r:id="rId5" name="Button 7">
              <controlPr defaultSize="0" print="0" autoFill="0" autoPict="0" macro="[0]!Sheet1.OverrideCalc">
                <anchor moveWithCells="1" sizeWithCells="1">
                  <from>
                    <xdr:col>1</xdr:col>
                    <xdr:colOff>1704975</xdr:colOff>
                    <xdr:row>63</xdr:row>
                    <xdr:rowOff>9525</xdr:rowOff>
                  </from>
                  <to>
                    <xdr:col>3</xdr:col>
                    <xdr:colOff>0</xdr:colOff>
                    <xdr:row>64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Weights!$D$8:$D$9</xm:f>
          </x14:formula1>
          <xm:sqref>F17</xm:sqref>
        </x14:dataValidation>
        <x14:dataValidation type="list" allowBlank="1" showInputMessage="1" showErrorMessage="1">
          <x14:formula1>
            <xm:f>Weights!$F$4:$F$5</xm:f>
          </x14:formula1>
          <xm:sqref>F14</xm:sqref>
        </x14:dataValidation>
        <x14:dataValidation type="list" allowBlank="1" showInputMessage="1" showErrorMessage="1">
          <x14:formula1>
            <xm:f>Weights!$C$53:$C$54</xm:f>
          </x14:formula1>
          <xm:sqref>D78:E78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CY54"/>
  <sheetViews>
    <sheetView topLeftCell="A27" workbookViewId="0">
      <selection activeCell="D36" sqref="D36:D51"/>
    </sheetView>
  </sheetViews>
  <sheetFormatPr defaultRowHeight="15" x14ac:dyDescent="0.25"/>
  <cols>
    <col min="5" max="5" width="5" bestFit="1" customWidth="1"/>
  </cols>
  <sheetData>
    <row r="3" spans="2:103" x14ac:dyDescent="0.25">
      <c r="B3" s="3" t="s">
        <v>9</v>
      </c>
      <c r="C3" s="4"/>
      <c r="D3" s="4"/>
      <c r="E3" s="4"/>
      <c r="F3" s="4"/>
      <c r="G3" s="4"/>
      <c r="H3" s="4"/>
      <c r="I3" s="4"/>
      <c r="J3" s="4"/>
      <c r="K3" s="4"/>
      <c r="L3" s="4"/>
      <c r="M3" s="4"/>
      <c r="N3" s="4"/>
      <c r="O3" s="4"/>
      <c r="P3" s="4"/>
      <c r="Q3" s="4"/>
      <c r="R3" s="4"/>
      <c r="S3" s="4"/>
      <c r="T3" s="4"/>
      <c r="U3" s="4"/>
      <c r="V3" s="5"/>
    </row>
    <row r="4" spans="2:103" x14ac:dyDescent="0.25">
      <c r="B4" s="6"/>
      <c r="C4" s="7"/>
      <c r="D4" s="7"/>
      <c r="E4" s="7"/>
      <c r="F4" s="7" t="s">
        <v>27</v>
      </c>
      <c r="G4" s="7">
        <v>0</v>
      </c>
      <c r="H4" s="7">
        <v>5</v>
      </c>
      <c r="I4" s="7">
        <v>10</v>
      </c>
      <c r="J4" s="16">
        <v>15</v>
      </c>
      <c r="K4" s="16">
        <v>20</v>
      </c>
      <c r="L4" s="16">
        <v>25</v>
      </c>
      <c r="M4" s="16">
        <v>30</v>
      </c>
      <c r="N4" s="16">
        <v>35</v>
      </c>
      <c r="O4" s="16">
        <v>40</v>
      </c>
      <c r="P4" s="16">
        <v>50</v>
      </c>
      <c r="Q4" s="16">
        <v>60</v>
      </c>
      <c r="R4" s="16">
        <v>70</v>
      </c>
      <c r="S4" s="16">
        <v>75</v>
      </c>
      <c r="T4" s="16">
        <v>80</v>
      </c>
      <c r="U4" s="16">
        <v>85</v>
      </c>
      <c r="V4" s="9">
        <v>100</v>
      </c>
    </row>
    <row r="5" spans="2:103" x14ac:dyDescent="0.25">
      <c r="B5" s="6"/>
      <c r="C5" s="7"/>
      <c r="D5" s="7"/>
      <c r="E5" s="7"/>
      <c r="F5" s="13" t="s">
        <v>28</v>
      </c>
      <c r="G5" s="7">
        <v>0</v>
      </c>
      <c r="H5" s="7">
        <v>10</v>
      </c>
      <c r="I5" s="7">
        <v>15</v>
      </c>
      <c r="J5" s="16">
        <v>20</v>
      </c>
      <c r="K5" s="16">
        <v>30</v>
      </c>
      <c r="L5" s="16">
        <v>40</v>
      </c>
      <c r="M5" s="16">
        <v>50</v>
      </c>
      <c r="N5" s="16">
        <v>60</v>
      </c>
      <c r="O5" s="16">
        <v>70</v>
      </c>
      <c r="P5" s="16">
        <v>80</v>
      </c>
      <c r="Q5" s="16">
        <v>90</v>
      </c>
      <c r="R5" s="16">
        <v>100</v>
      </c>
      <c r="S5" s="7" t="s">
        <v>29</v>
      </c>
      <c r="T5" s="7" t="s">
        <v>29</v>
      </c>
      <c r="U5" s="7" t="s">
        <v>29</v>
      </c>
      <c r="V5" s="9" t="s">
        <v>29</v>
      </c>
    </row>
    <row r="6" spans="2:103" x14ac:dyDescent="0.25">
      <c r="B6" s="6" t="s">
        <v>17</v>
      </c>
      <c r="C6" s="7"/>
      <c r="D6" s="8">
        <f>110+Inputs!$F$15*66.7</f>
        <v>203.38</v>
      </c>
      <c r="E6" s="7"/>
      <c r="F6" s="7" t="s">
        <v>23</v>
      </c>
      <c r="G6" s="7">
        <f>IF(Inputs!$F$17="Small",Weights!G8,Weights!G10)</f>
        <v>0</v>
      </c>
      <c r="H6" s="7">
        <f>IF(Inputs!$F$17="Small",Weights!H8,Weights!H10)</f>
        <v>0</v>
      </c>
      <c r="I6" s="7">
        <f>IF(Inputs!$F$17="Small",Weights!I8,Weights!I10)</f>
        <v>0</v>
      </c>
      <c r="J6" s="7">
        <f>IF(Inputs!$F$17="Small",Weights!J8,Weights!J10)</f>
        <v>0</v>
      </c>
      <c r="K6" s="7">
        <f>IF(Inputs!$F$17="Small",Weights!K8,Weights!K10)</f>
        <v>0</v>
      </c>
      <c r="L6" s="7">
        <f>IF(Inputs!$F$17="Small",Weights!L8,Weights!L10)</f>
        <v>0</v>
      </c>
      <c r="M6" s="7">
        <f>IF(Inputs!$F$17="Small",Weights!M8,Weights!M10)</f>
        <v>0</v>
      </c>
      <c r="N6" s="7">
        <f>IF(Inputs!$F$17="Small",Weights!N8,Weights!N10)</f>
        <v>0</v>
      </c>
      <c r="O6" s="7">
        <f>IF(Inputs!$F$17="Small",Weights!O8,Weights!O10)</f>
        <v>0</v>
      </c>
      <c r="P6" s="7">
        <f>IF(Inputs!$F$17="Small",Weights!P8,Weights!P10)</f>
        <v>0</v>
      </c>
      <c r="Q6" s="7">
        <f>IF(Inputs!$F$17="Small",Weights!Q8,Weights!Q10)</f>
        <v>0</v>
      </c>
      <c r="R6" s="7">
        <f>IF(Inputs!$F$17="Small",Weights!R8,Weights!R10)</f>
        <v>0</v>
      </c>
      <c r="S6" s="7">
        <f>IF(Inputs!$F$17="Small",Weights!S8,Weights!S10)</f>
        <v>0</v>
      </c>
      <c r="T6" s="7">
        <f>IF(Inputs!$F$17="Small",Weights!T8,Weights!T10)</f>
        <v>0</v>
      </c>
      <c r="U6" s="7">
        <f>IF(Inputs!$F$17="Small",Weights!U8,Weights!U10)</f>
        <v>0</v>
      </c>
      <c r="V6" s="9">
        <f>IF(Inputs!$F$17="Small",Weights!V8,Weights!V10)</f>
        <v>0</v>
      </c>
    </row>
    <row r="7" spans="2:103" x14ac:dyDescent="0.25">
      <c r="B7" s="6" t="s">
        <v>18</v>
      </c>
      <c r="C7" s="7"/>
      <c r="D7" s="8">
        <f>MAX(Inputs!G20:V35)</f>
        <v>234.60800000000003</v>
      </c>
      <c r="E7" s="7"/>
      <c r="F7" s="7"/>
      <c r="G7" s="7">
        <f>IF(Inputs!$F$17="Small",Weights!G9,Weights!G11)</f>
        <v>0</v>
      </c>
      <c r="H7" s="7">
        <f>IF(Inputs!$F$17="Small",Weights!H9,Weights!H11)</f>
        <v>0</v>
      </c>
      <c r="I7" s="7">
        <f>IF(Inputs!$F$17="Small",Weights!I9,Weights!I11)</f>
        <v>0</v>
      </c>
      <c r="J7" s="7">
        <f>IF(Inputs!$F$17="Small",Weights!J9,Weights!J11)</f>
        <v>0.44</v>
      </c>
      <c r="K7" s="7">
        <f>IF(Inputs!$F$17="Small",Weights!K9,Weights!K11)</f>
        <v>0.14000000000000001</v>
      </c>
      <c r="L7" s="7">
        <f>IF(Inputs!$F$17="Small",Weights!L9,Weights!L11)</f>
        <v>5.5E-2</v>
      </c>
      <c r="M7" s="7">
        <f>IF(Inputs!$F$17="Small",Weights!M9,Weights!M11)</f>
        <v>5.5E-2</v>
      </c>
      <c r="N7" s="7">
        <f>IF(Inputs!$F$17="Small",Weights!N9,Weights!N11)</f>
        <v>4.4999999999999998E-2</v>
      </c>
      <c r="O7" s="7">
        <f>IF(Inputs!$F$17="Small",Weights!O9,Weights!O11)</f>
        <v>3.7999999999999999E-2</v>
      </c>
      <c r="P7" s="7">
        <f>IF(Inputs!$F$17="Small",Weights!P9,Weights!P11)</f>
        <v>2.4E-2</v>
      </c>
      <c r="Q7" s="7">
        <f>IF(Inputs!$F$17="Small",Weights!Q9,Weights!Q11)</f>
        <v>1.4999999999999999E-2</v>
      </c>
      <c r="R7" s="7">
        <f>IF(Inputs!$F$17="Small",Weights!R9,Weights!R11)</f>
        <v>8.9999999999999993E-3</v>
      </c>
      <c r="S7" s="7">
        <f>IF(Inputs!$F$17="Small",Weights!S9,Weights!S11)</f>
        <v>8.0000000000000002E-3</v>
      </c>
      <c r="T7" s="7">
        <f>IF(Inputs!$F$17="Small",Weights!T9,Weights!T11)</f>
        <v>7.4999999999999997E-3</v>
      </c>
      <c r="U7" s="7">
        <f>IF(Inputs!$F$17="Small",Weights!U9,Weights!U11)</f>
        <v>6.0000000000000001E-3</v>
      </c>
      <c r="V7" s="9">
        <f>IF(Inputs!$F$17="Small",Weights!V9,Weights!V11)</f>
        <v>5.0000000000000001E-4</v>
      </c>
    </row>
    <row r="8" spans="2:103" x14ac:dyDescent="0.25">
      <c r="B8" s="6" t="s">
        <v>20</v>
      </c>
      <c r="C8" s="7"/>
      <c r="D8" s="7" t="s">
        <v>21</v>
      </c>
      <c r="E8" s="7"/>
      <c r="F8" s="7" t="s">
        <v>21</v>
      </c>
      <c r="G8" s="7">
        <v>0</v>
      </c>
      <c r="H8" s="7">
        <v>0</v>
      </c>
      <c r="I8" s="7">
        <v>0</v>
      </c>
      <c r="J8" s="7">
        <v>5.0000000000000001E-3</v>
      </c>
      <c r="K8" s="7">
        <v>0.01</v>
      </c>
      <c r="L8" s="7">
        <v>1.4999999999999999E-2</v>
      </c>
      <c r="M8" s="7">
        <v>2.5000000000000001E-2</v>
      </c>
      <c r="N8" s="7">
        <v>2.9000000000000001E-2</v>
      </c>
      <c r="O8" s="7">
        <v>2.7E-2</v>
      </c>
      <c r="P8" s="7">
        <v>2.5000000000000001E-2</v>
      </c>
      <c r="Q8" s="7">
        <v>0.02</v>
      </c>
      <c r="R8" s="7">
        <v>1.4999999999999999E-2</v>
      </c>
      <c r="S8" s="7">
        <v>-2.5000000000000001E-2</v>
      </c>
      <c r="T8" s="7">
        <v>-7.4999999999999997E-2</v>
      </c>
      <c r="U8" s="7">
        <v>-0.09</v>
      </c>
      <c r="V8" s="9">
        <v>-0.13</v>
      </c>
    </row>
    <row r="9" spans="2:103" x14ac:dyDescent="0.25">
      <c r="B9" s="6"/>
      <c r="C9" s="7"/>
      <c r="D9" s="7" t="s">
        <v>22</v>
      </c>
      <c r="E9" s="7"/>
      <c r="F9" s="7"/>
      <c r="G9" s="10">
        <v>0</v>
      </c>
      <c r="H9" s="10">
        <v>0</v>
      </c>
      <c r="I9" s="10">
        <v>0</v>
      </c>
      <c r="J9" s="10">
        <v>0.44</v>
      </c>
      <c r="K9" s="10">
        <v>0.14000000000000001</v>
      </c>
      <c r="L9" s="10">
        <v>5.5E-2</v>
      </c>
      <c r="M9" s="10">
        <v>5.5E-2</v>
      </c>
      <c r="N9" s="10">
        <v>4.4999999999999998E-2</v>
      </c>
      <c r="O9" s="10">
        <v>3.7999999999999999E-2</v>
      </c>
      <c r="P9" s="10">
        <v>2.4E-2</v>
      </c>
      <c r="Q9" s="10">
        <v>1.4999999999999999E-2</v>
      </c>
      <c r="R9" s="10">
        <v>8.9999999999999993E-3</v>
      </c>
      <c r="S9" s="10">
        <v>8.0000000000000002E-3</v>
      </c>
      <c r="T9" s="10">
        <v>7.4999999999999997E-3</v>
      </c>
      <c r="U9" s="10">
        <v>6.0000000000000001E-3</v>
      </c>
      <c r="V9" s="11">
        <v>5.0000000000000001E-4</v>
      </c>
    </row>
    <row r="10" spans="2:103" x14ac:dyDescent="0.25">
      <c r="B10" s="6"/>
      <c r="C10" s="7"/>
      <c r="E10" s="7"/>
      <c r="F10" s="7" t="s">
        <v>22</v>
      </c>
      <c r="G10" s="7">
        <v>0</v>
      </c>
      <c r="H10" s="7">
        <v>0</v>
      </c>
      <c r="I10" s="7">
        <v>0</v>
      </c>
      <c r="J10" s="7">
        <v>0</v>
      </c>
      <c r="K10" s="7">
        <v>0</v>
      </c>
      <c r="L10" s="7">
        <v>0</v>
      </c>
      <c r="M10" s="7">
        <v>0</v>
      </c>
      <c r="N10" s="7">
        <v>0</v>
      </c>
      <c r="O10" s="7">
        <v>0</v>
      </c>
      <c r="P10" s="7">
        <v>0</v>
      </c>
      <c r="Q10" s="7">
        <v>0</v>
      </c>
      <c r="R10" s="7">
        <v>0</v>
      </c>
      <c r="S10" s="7">
        <v>0</v>
      </c>
      <c r="T10" s="7">
        <v>0</v>
      </c>
      <c r="U10" s="7">
        <v>0</v>
      </c>
      <c r="V10" s="9">
        <v>0</v>
      </c>
    </row>
    <row r="11" spans="2:103" x14ac:dyDescent="0.25">
      <c r="B11" s="12"/>
      <c r="C11" s="13"/>
      <c r="D11" s="13"/>
      <c r="E11" s="13"/>
      <c r="F11" s="13"/>
      <c r="G11" s="14">
        <v>0</v>
      </c>
      <c r="H11" s="14">
        <v>0</v>
      </c>
      <c r="I11" s="14">
        <v>0</v>
      </c>
      <c r="J11" s="14">
        <v>0.44</v>
      </c>
      <c r="K11" s="14">
        <v>0.14000000000000001</v>
      </c>
      <c r="L11" s="14">
        <v>5.5E-2</v>
      </c>
      <c r="M11" s="14">
        <v>5.5E-2</v>
      </c>
      <c r="N11" s="14">
        <v>4.4999999999999998E-2</v>
      </c>
      <c r="O11" s="14">
        <v>3.7999999999999999E-2</v>
      </c>
      <c r="P11" s="14">
        <v>2.4E-2</v>
      </c>
      <c r="Q11" s="14">
        <v>1.4999999999999999E-2</v>
      </c>
      <c r="R11" s="14">
        <v>8.9999999999999993E-3</v>
      </c>
      <c r="S11" s="14">
        <v>8.0000000000000002E-3</v>
      </c>
      <c r="T11" s="14">
        <v>7.4999999999999997E-3</v>
      </c>
      <c r="U11" s="14">
        <v>6.0000000000000001E-3</v>
      </c>
      <c r="V11" s="15">
        <v>5.0000000000000001E-4</v>
      </c>
    </row>
    <row r="12" spans="2:103" x14ac:dyDescent="0.25">
      <c r="B12" s="7"/>
      <c r="C12" s="7"/>
      <c r="D12" s="7"/>
      <c r="E12" s="7"/>
      <c r="F12" s="7"/>
      <c r="G12" s="10"/>
      <c r="H12" s="10"/>
      <c r="I12" s="10"/>
      <c r="J12" s="10"/>
      <c r="K12" s="10"/>
      <c r="L12" s="10"/>
      <c r="M12" s="10"/>
      <c r="N12" s="10"/>
      <c r="O12" s="10"/>
      <c r="P12" s="10"/>
      <c r="Q12" s="10"/>
      <c r="R12" s="10"/>
      <c r="S12" s="10"/>
      <c r="T12" s="10"/>
      <c r="U12" s="10"/>
      <c r="V12" s="10"/>
    </row>
    <row r="14" spans="2:103" ht="15.75" thickBot="1" x14ac:dyDescent="0.3">
      <c r="B14" t="s">
        <v>24</v>
      </c>
      <c r="C14" t="s">
        <v>30</v>
      </c>
    </row>
    <row r="15" spans="2:103" ht="16.5" thickTop="1" thickBot="1" x14ac:dyDescent="0.3">
      <c r="C15" s="17"/>
      <c r="D15" s="18">
        <v>0</v>
      </c>
      <c r="E15" s="19">
        <v>1</v>
      </c>
      <c r="F15" s="19">
        <v>2</v>
      </c>
      <c r="G15" s="19">
        <v>3</v>
      </c>
      <c r="H15" s="19">
        <v>4</v>
      </c>
      <c r="I15" s="19">
        <v>5</v>
      </c>
      <c r="J15" s="19">
        <v>6</v>
      </c>
      <c r="K15" s="19">
        <v>7</v>
      </c>
      <c r="L15" s="19">
        <v>8</v>
      </c>
      <c r="M15" s="19">
        <v>9</v>
      </c>
      <c r="N15" s="19">
        <v>10</v>
      </c>
      <c r="O15" s="19">
        <v>11</v>
      </c>
      <c r="P15" s="19">
        <v>12</v>
      </c>
      <c r="Q15" s="19">
        <v>13</v>
      </c>
      <c r="R15" s="19">
        <v>14</v>
      </c>
      <c r="S15" s="19">
        <v>15</v>
      </c>
      <c r="T15" s="19">
        <v>16</v>
      </c>
      <c r="U15" s="19">
        <v>17</v>
      </c>
      <c r="V15" s="19">
        <v>18</v>
      </c>
      <c r="W15" s="19">
        <v>19</v>
      </c>
      <c r="X15" s="19">
        <v>20</v>
      </c>
      <c r="Y15" s="19">
        <v>21</v>
      </c>
      <c r="Z15" s="19">
        <v>22</v>
      </c>
      <c r="AA15" s="19">
        <v>23</v>
      </c>
      <c r="AB15" s="19">
        <v>24</v>
      </c>
      <c r="AC15" s="19">
        <v>25</v>
      </c>
      <c r="AD15" s="19">
        <v>26</v>
      </c>
      <c r="AE15" s="19">
        <v>27</v>
      </c>
      <c r="AF15" s="19">
        <v>28</v>
      </c>
      <c r="AG15" s="19">
        <v>29</v>
      </c>
      <c r="AH15" s="19">
        <v>30</v>
      </c>
      <c r="AI15" s="19">
        <v>31</v>
      </c>
      <c r="AJ15" s="19">
        <v>32</v>
      </c>
      <c r="AK15" s="19">
        <v>33</v>
      </c>
      <c r="AL15" s="19">
        <v>34</v>
      </c>
      <c r="AM15" s="19">
        <v>35</v>
      </c>
      <c r="AN15" s="19">
        <v>36</v>
      </c>
      <c r="AO15" s="19">
        <v>37</v>
      </c>
      <c r="AP15" s="19">
        <v>38</v>
      </c>
      <c r="AQ15" s="19">
        <v>39</v>
      </c>
      <c r="AR15" s="19">
        <v>40</v>
      </c>
      <c r="AS15" s="19">
        <v>41</v>
      </c>
      <c r="AT15" s="19">
        <v>42</v>
      </c>
      <c r="AU15" s="19">
        <v>43</v>
      </c>
      <c r="AV15" s="19">
        <v>44</v>
      </c>
      <c r="AW15" s="19">
        <v>45</v>
      </c>
      <c r="AX15" s="19">
        <v>46</v>
      </c>
      <c r="AY15" s="19">
        <v>47</v>
      </c>
      <c r="AZ15" s="19">
        <v>48</v>
      </c>
      <c r="BA15" s="19">
        <v>49</v>
      </c>
      <c r="BB15" s="19">
        <v>50</v>
      </c>
      <c r="BC15" s="19">
        <v>51</v>
      </c>
      <c r="BD15" s="19">
        <v>52</v>
      </c>
      <c r="BE15" s="19">
        <v>53</v>
      </c>
      <c r="BF15" s="19">
        <v>54</v>
      </c>
      <c r="BG15" s="19">
        <v>55</v>
      </c>
      <c r="BH15" s="19">
        <v>56</v>
      </c>
      <c r="BI15" s="19">
        <v>57</v>
      </c>
      <c r="BJ15" s="19">
        <v>58</v>
      </c>
      <c r="BK15" s="19">
        <v>59</v>
      </c>
      <c r="BL15" s="19">
        <v>60</v>
      </c>
      <c r="BM15" s="19">
        <v>61</v>
      </c>
      <c r="BN15" s="19">
        <v>62</v>
      </c>
      <c r="BO15" s="19">
        <v>63</v>
      </c>
      <c r="BP15" s="19">
        <v>64</v>
      </c>
      <c r="BQ15" s="19">
        <v>65</v>
      </c>
      <c r="BR15" s="19">
        <v>66</v>
      </c>
      <c r="BS15" s="19">
        <v>67</v>
      </c>
      <c r="BT15" s="19">
        <v>68</v>
      </c>
      <c r="BU15" s="19">
        <v>69</v>
      </c>
      <c r="BV15" s="19">
        <v>70</v>
      </c>
      <c r="BW15" s="19">
        <v>71</v>
      </c>
      <c r="BX15" s="19">
        <v>72</v>
      </c>
      <c r="BY15" s="19">
        <v>73</v>
      </c>
      <c r="BZ15" s="19">
        <v>74</v>
      </c>
      <c r="CA15" s="19">
        <v>75</v>
      </c>
      <c r="CB15" s="19">
        <v>76</v>
      </c>
      <c r="CC15" s="19">
        <v>77</v>
      </c>
      <c r="CD15" s="19">
        <v>78</v>
      </c>
      <c r="CE15" s="19">
        <v>79</v>
      </c>
      <c r="CF15" s="19">
        <v>80</v>
      </c>
      <c r="CG15" s="19">
        <v>81</v>
      </c>
      <c r="CH15" s="19">
        <v>82</v>
      </c>
      <c r="CI15" s="19">
        <v>83</v>
      </c>
      <c r="CJ15" s="19">
        <v>84</v>
      </c>
      <c r="CK15" s="19">
        <v>85</v>
      </c>
      <c r="CL15" s="19">
        <v>86</v>
      </c>
      <c r="CM15" s="19">
        <v>87</v>
      </c>
      <c r="CN15" s="19">
        <v>88</v>
      </c>
      <c r="CO15" s="19">
        <v>89</v>
      </c>
      <c r="CP15" s="19">
        <v>90</v>
      </c>
      <c r="CQ15" s="19">
        <v>91</v>
      </c>
      <c r="CR15" s="19">
        <v>92</v>
      </c>
      <c r="CS15" s="19">
        <v>93</v>
      </c>
      <c r="CT15" s="19">
        <v>94</v>
      </c>
      <c r="CU15" s="19">
        <v>95</v>
      </c>
      <c r="CV15" s="19">
        <v>96</v>
      </c>
      <c r="CW15" s="19">
        <v>97</v>
      </c>
      <c r="CX15" s="19">
        <v>98</v>
      </c>
      <c r="CY15" s="27">
        <v>99</v>
      </c>
    </row>
    <row r="16" spans="2:103" ht="16.5" thickTop="1" thickBot="1" x14ac:dyDescent="0.3">
      <c r="C16" s="20">
        <f>Inputs!F43</f>
        <v>600</v>
      </c>
      <c r="D16" s="21">
        <v>0</v>
      </c>
      <c r="E16" s="22">
        <f t="shared" ref="E16:E31" si="0">$D16+($I16-$D16)/5*1</f>
        <v>2.2000000000000002</v>
      </c>
      <c r="F16" s="22">
        <f t="shared" ref="F16:F31" si="1">$D16+($I16-$D16)/5*2</f>
        <v>4.4000000000000004</v>
      </c>
      <c r="G16" s="22">
        <f t="shared" ref="G16:G31" si="2">$D16+($I16-$D16)/5*3</f>
        <v>6.6000000000000005</v>
      </c>
      <c r="H16" s="22">
        <f t="shared" ref="H16:H31" si="3">$D16+($I16-$D16)/5*4</f>
        <v>8.8000000000000007</v>
      </c>
      <c r="I16" s="21">
        <v>11</v>
      </c>
      <c r="J16" s="22">
        <f t="shared" ref="J16:J31" si="4">$I16+($N16-$I16)/5*1</f>
        <v>13</v>
      </c>
      <c r="K16" s="22">
        <f t="shared" ref="K16:K31" si="5">$I16+($N16-$I16)/5*2</f>
        <v>15</v>
      </c>
      <c r="L16" s="22">
        <f t="shared" ref="L16:L31" si="6">$I16+($N16-$I16)/5*3</f>
        <v>17</v>
      </c>
      <c r="M16" s="22">
        <f t="shared" ref="M16:M31" si="7">$I16+($N16-$I16)/5*4</f>
        <v>19</v>
      </c>
      <c r="N16" s="21">
        <v>21</v>
      </c>
      <c r="O16" s="22">
        <f t="shared" ref="O16:O31" si="8">$N16+($S16-$N16)/5*1</f>
        <v>23.8</v>
      </c>
      <c r="P16" s="22">
        <f t="shared" ref="P16:P31" si="9">$N16+($S16-$N16)/5*2</f>
        <v>26.6</v>
      </c>
      <c r="Q16" s="22">
        <f t="shared" ref="Q16:Q31" si="10">$N16+($S16-$N16)/5*3</f>
        <v>29.4</v>
      </c>
      <c r="R16" s="22">
        <f t="shared" ref="R16:R31" si="11">$N16+($S16-$N16)/5*4</f>
        <v>32.200000000000003</v>
      </c>
      <c r="S16" s="21">
        <v>35</v>
      </c>
      <c r="T16" s="22">
        <f t="shared" ref="T16:T31" si="12">$S16+($X16-$S16)/5*1</f>
        <v>36.200000000000003</v>
      </c>
      <c r="U16" s="22">
        <f t="shared" ref="U16:U31" si="13">$S16+($X16-$S16)/5*2</f>
        <v>37.4</v>
      </c>
      <c r="V16" s="22">
        <f t="shared" ref="V16:V31" si="14">$S16+($X16-$S16)/5*3</f>
        <v>38.6</v>
      </c>
      <c r="W16" s="22">
        <f t="shared" ref="W16:W31" si="15">$S16+($X16-$S16)/5*4</f>
        <v>39.799999999999997</v>
      </c>
      <c r="X16" s="21">
        <v>41</v>
      </c>
      <c r="Y16" s="22">
        <f t="shared" ref="Y16:Y31" si="16">$X16+($AC16-$X16)/5*1</f>
        <v>42.6</v>
      </c>
      <c r="Z16" s="22">
        <f t="shared" ref="Z16:Z31" si="17">$X16+($AC16-$X16)/5*2</f>
        <v>44.2</v>
      </c>
      <c r="AA16" s="22">
        <f t="shared" ref="AA16:AA31" si="18">$X16+($AC16-$X16)/5*3</f>
        <v>45.8</v>
      </c>
      <c r="AB16" s="22">
        <f t="shared" ref="AB16:AB31" si="19">$X16+($AC16-$X16)/5*4</f>
        <v>47.4</v>
      </c>
      <c r="AC16" s="21">
        <v>49</v>
      </c>
      <c r="AD16" s="22">
        <f t="shared" ref="AD16:AD31" si="20">$AC16+($AH16-$AC16)/5*1</f>
        <v>51.4</v>
      </c>
      <c r="AE16" s="22">
        <f t="shared" ref="AE16:AE31" si="21">$AC16+($AH16-$AC16)/5*2</f>
        <v>53.8</v>
      </c>
      <c r="AF16" s="22">
        <f t="shared" ref="AF16:AF31" si="22">$AC16+($AH16-$AC16)/5*3</f>
        <v>56.2</v>
      </c>
      <c r="AG16" s="22">
        <f t="shared" ref="AG16:AG31" si="23">$AC16+($AH16-$AC16)/5*4</f>
        <v>58.6</v>
      </c>
      <c r="AH16" s="21">
        <v>61</v>
      </c>
      <c r="AI16" s="22">
        <f t="shared" ref="AI16:AI31" si="24">$AH16+($AM16-$AH16)/5*1</f>
        <v>63.2</v>
      </c>
      <c r="AJ16" s="22">
        <f t="shared" ref="AJ16:AJ31" si="25">$AH16+($AM16-$AH16)/5*2</f>
        <v>65.400000000000006</v>
      </c>
      <c r="AK16" s="22">
        <f t="shared" ref="AK16:AK31" si="26">$AH16+($AM16-$AH16)/5*3</f>
        <v>67.599999999999994</v>
      </c>
      <c r="AL16" s="22">
        <f t="shared" ref="AL16:AL31" si="27">$AH16+($AM16-$AH16)/5*4</f>
        <v>69.8</v>
      </c>
      <c r="AM16" s="21">
        <v>72</v>
      </c>
      <c r="AN16" s="22">
        <f t="shared" ref="AN16:AN31" si="28">$AM16+($AR16-$AM16)/5*1</f>
        <v>74.2</v>
      </c>
      <c r="AO16" s="22">
        <f t="shared" ref="AO16:AO31" si="29">$AM16+($AR16-$AM16)/5*2</f>
        <v>76.400000000000006</v>
      </c>
      <c r="AP16" s="22">
        <f t="shared" ref="AP16:AP31" si="30">$AM16+($AR16-$AM16)/5*3</f>
        <v>78.599999999999994</v>
      </c>
      <c r="AQ16" s="22">
        <f t="shared" ref="AQ16:AQ31" si="31">$AM16+($AR16-$AM16)/5*4</f>
        <v>80.8</v>
      </c>
      <c r="AR16" s="21">
        <v>83</v>
      </c>
      <c r="AS16" s="22">
        <f t="shared" ref="AS16:AS31" si="32">$AR16+($BB16-$AR16)/10*1</f>
        <v>85.2</v>
      </c>
      <c r="AT16" s="22">
        <f t="shared" ref="AT16:AT31" si="33">$AR16+($BB16-$AR16)/10*2</f>
        <v>87.4</v>
      </c>
      <c r="AU16" s="22">
        <f t="shared" ref="AU16:AU31" si="34">$AR16+($BB16-$AR16)/10*3</f>
        <v>89.6</v>
      </c>
      <c r="AV16" s="22">
        <f t="shared" ref="AV16:AV31" si="35">$AR16+($BB16-$AR16)/10*4</f>
        <v>91.8</v>
      </c>
      <c r="AW16" s="22">
        <f t="shared" ref="AW16:AW31" si="36">$AR16+($BB16-$AR16)/10*5</f>
        <v>94</v>
      </c>
      <c r="AX16" s="22">
        <f t="shared" ref="AX16:AX31" si="37">$AR16+($BB16-$AR16)/10*6</f>
        <v>96.2</v>
      </c>
      <c r="AY16" s="22">
        <f t="shared" ref="AY16:AY31" si="38">$AR16+($BB16-$AR16)/10*7</f>
        <v>98.4</v>
      </c>
      <c r="AZ16" s="22">
        <f t="shared" ref="AZ16:AZ31" si="39">$AR16+($BB16-$AR16)/10*8</f>
        <v>100.6</v>
      </c>
      <c r="BA16" s="22">
        <f t="shared" ref="BA16:BA31" si="40">$AR16+($BB16-$AR16)/10*9</f>
        <v>102.8</v>
      </c>
      <c r="BB16" s="21">
        <v>105</v>
      </c>
      <c r="BC16" s="22">
        <f t="shared" ref="BC16:BC31" si="41">$BB16+($BL16-$BB16)/10*1</f>
        <v>107.2</v>
      </c>
      <c r="BD16" s="22">
        <f t="shared" ref="BD16:BD31" si="42">$BB16+($BL16-$BB16)/10*2</f>
        <v>109.4</v>
      </c>
      <c r="BE16" s="22">
        <f t="shared" ref="BE16:BE31" si="43">$BB16+($BL16-$BB16)/10*3</f>
        <v>111.6</v>
      </c>
      <c r="BF16" s="22">
        <f t="shared" ref="BF16:BF31" si="44">$BB16+($BL16-$BB16)/10*4</f>
        <v>113.8</v>
      </c>
      <c r="BG16" s="22">
        <f t="shared" ref="BG16:BG31" si="45">$BB16+($BL16-$BB16)/10*5</f>
        <v>116</v>
      </c>
      <c r="BH16" s="22">
        <f t="shared" ref="BH16:BH31" si="46">$BB16+($BL16-$BB16)/10*6</f>
        <v>118.2</v>
      </c>
      <c r="BI16" s="22">
        <f t="shared" ref="BI16:BI31" si="47">$BB16+($BL16-$BB16)/10*7</f>
        <v>120.4</v>
      </c>
      <c r="BJ16" s="22">
        <f t="shared" ref="BJ16:BJ31" si="48">$BB16+($BL16-$BB16)/10*8</f>
        <v>122.6</v>
      </c>
      <c r="BK16" s="22">
        <f t="shared" ref="BK16:BK31" si="49">$BB16+($BL16-$BB16)/10*9</f>
        <v>124.8</v>
      </c>
      <c r="BL16" s="21">
        <v>127</v>
      </c>
      <c r="BM16" s="22">
        <f t="shared" ref="BM16:BM31" si="50">$BL16+($BV16-$BL16)/10*1</f>
        <v>129.19999999999999</v>
      </c>
      <c r="BN16" s="22">
        <f t="shared" ref="BN16:BN31" si="51">$BL16+($BV16-$BL16)/10*2</f>
        <v>131.4</v>
      </c>
      <c r="BO16" s="22">
        <f t="shared" ref="BO16:BO31" si="52">$BL16+($BV16-$BL16)/10*3</f>
        <v>133.6</v>
      </c>
      <c r="BP16" s="22">
        <f t="shared" ref="BP16:BP31" si="53">$BL16+($BV16-$BL16)/10*4</f>
        <v>135.80000000000001</v>
      </c>
      <c r="BQ16" s="22">
        <f t="shared" ref="BQ16:BQ31" si="54">$BL16+($BV16-$BL16)/10*5</f>
        <v>138</v>
      </c>
      <c r="BR16" s="22">
        <f t="shared" ref="BR16:BR31" si="55">$BL16+($BV16-$BL16)/10*6</f>
        <v>140.19999999999999</v>
      </c>
      <c r="BS16" s="22">
        <f t="shared" ref="BS16:BS31" si="56">$BL16+($BV16-$BL16)/10*7</f>
        <v>142.4</v>
      </c>
      <c r="BT16" s="22">
        <f t="shared" ref="BT16:BT31" si="57">$BL16+($BV16-$BL16)/10*8</f>
        <v>144.6</v>
      </c>
      <c r="BU16" s="22">
        <f t="shared" ref="BU16:BU31" si="58">$BL16+($BV16-$BL16)/10*9</f>
        <v>146.80000000000001</v>
      </c>
      <c r="BV16" s="21">
        <v>149</v>
      </c>
      <c r="BW16" s="22">
        <f t="shared" ref="BW16:BW31" si="59">$BV16+($CA16-$BV16)/5*1</f>
        <v>151.19999999999999</v>
      </c>
      <c r="BX16" s="22">
        <f t="shared" ref="BX16:BX31" si="60">$BV16+($CA16-$BV16)/5*2</f>
        <v>153.4</v>
      </c>
      <c r="BY16" s="22">
        <f t="shared" ref="BY16:BY31" si="61">$BV16+($CA16-$BV16)/5*3</f>
        <v>155.6</v>
      </c>
      <c r="BZ16" s="22">
        <f t="shared" ref="BZ16:BZ31" si="62">$BV16+($CA16-$BV16)/5*4</f>
        <v>157.80000000000001</v>
      </c>
      <c r="CA16" s="21">
        <v>160</v>
      </c>
      <c r="CB16" s="22">
        <f t="shared" ref="CB16:CB31" si="63">$CA16+($CF16-$CA16)/5*1</f>
        <v>162.19999999999999</v>
      </c>
      <c r="CC16" s="22">
        <f t="shared" ref="CC16:CC31" si="64">$CA16+($CF16-$CA16)/5*2</f>
        <v>164.4</v>
      </c>
      <c r="CD16" s="22">
        <f t="shared" ref="CD16:CD31" si="65">$CA16+($CF16-$CA16)/5*3</f>
        <v>166.6</v>
      </c>
      <c r="CE16" s="22">
        <f t="shared" ref="CE16:CE31" si="66">$CA16+($CF16-$CA16)/5*4</f>
        <v>168.8</v>
      </c>
      <c r="CF16" s="21">
        <v>171</v>
      </c>
      <c r="CG16" s="22">
        <f t="shared" ref="CG16:CG31" si="67">$CF16+($CK16-$CF16)/5*1</f>
        <v>173.2</v>
      </c>
      <c r="CH16" s="22">
        <f t="shared" ref="CH16:CH31" si="68">$CF16+($CK16-$CF16)/5*2</f>
        <v>175.4</v>
      </c>
      <c r="CI16" s="22">
        <f t="shared" ref="CI16:CI31" si="69">$CF16+($CK16-$CF16)/5*3</f>
        <v>177.6</v>
      </c>
      <c r="CJ16" s="22">
        <f t="shared" ref="CJ16:CJ31" si="70">$CF16+($CK16-$CF16)/5*4</f>
        <v>179.8</v>
      </c>
      <c r="CK16" s="21">
        <v>182</v>
      </c>
      <c r="CL16" s="22">
        <f t="shared" ref="CL16:CL31" si="71">$CK16+($CY16-$CK16)/14*1</f>
        <v>184.14285714285714</v>
      </c>
      <c r="CM16" s="22">
        <f t="shared" ref="CM16:CM31" si="72">$CK16+($CY16-$CK16)/14*2</f>
        <v>186.28571428571428</v>
      </c>
      <c r="CN16" s="22">
        <f t="shared" ref="CN16:CN31" si="73">$CK16+($CY16-$CK16)/14*3</f>
        <v>188.42857142857142</v>
      </c>
      <c r="CO16" s="22">
        <f t="shared" ref="CO16:CO31" si="74">$CK16+($CY16-$CK16)/14*4</f>
        <v>190.57142857142858</v>
      </c>
      <c r="CP16" s="22">
        <f t="shared" ref="CP16:CP31" si="75">$CK16+($CY16-$CK16)/14*5</f>
        <v>192.71428571428572</v>
      </c>
      <c r="CQ16" s="22">
        <f t="shared" ref="CQ16:CQ31" si="76">$CK16+($CY16-$CK16)/14*6</f>
        <v>194.85714285714286</v>
      </c>
      <c r="CR16" s="22">
        <f t="shared" ref="CR16:CR31" si="77">$CK16+($CY16-$CK16)/14*7</f>
        <v>197</v>
      </c>
      <c r="CS16" s="22">
        <f t="shared" ref="CS16:CS31" si="78">$CK16+($CY16-$CK16)/14*8</f>
        <v>199.14285714285714</v>
      </c>
      <c r="CT16" s="22">
        <f t="shared" ref="CT16:CT31" si="79">$CK16+($CY16-$CK16)/14*9</f>
        <v>201.28571428571428</v>
      </c>
      <c r="CU16" s="22">
        <f t="shared" ref="CU16:CU31" si="80">$CK16+($CY16-$CK16)/14*10</f>
        <v>203.42857142857142</v>
      </c>
      <c r="CV16" s="22">
        <f t="shared" ref="CV16:CV31" si="81">$CK16+($CY16-$CK16)/14*11</f>
        <v>205.57142857142856</v>
      </c>
      <c r="CW16" s="22">
        <f t="shared" ref="CW16:CW31" si="82">$CK16+($CY16-$CK16)/14*12</f>
        <v>207.71428571428572</v>
      </c>
      <c r="CX16" s="22">
        <f t="shared" ref="CX16:CX31" si="83">$CK16+($CY16-$CK16)/14*13</f>
        <v>209.85714285714286</v>
      </c>
      <c r="CY16" s="28">
        <v>212</v>
      </c>
    </row>
    <row r="17" spans="3:103" ht="16.5" thickTop="1" thickBot="1" x14ac:dyDescent="0.3">
      <c r="C17" s="20">
        <f>Inputs!F44</f>
        <v>800</v>
      </c>
      <c r="D17" s="23">
        <v>0</v>
      </c>
      <c r="E17" s="24">
        <f t="shared" si="0"/>
        <v>2.2000000000000002</v>
      </c>
      <c r="F17" s="24">
        <f t="shared" si="1"/>
        <v>4.4000000000000004</v>
      </c>
      <c r="G17" s="24">
        <f t="shared" si="2"/>
        <v>6.6000000000000005</v>
      </c>
      <c r="H17" s="24">
        <f t="shared" si="3"/>
        <v>8.8000000000000007</v>
      </c>
      <c r="I17" s="23">
        <v>11</v>
      </c>
      <c r="J17" s="24">
        <f t="shared" si="4"/>
        <v>13</v>
      </c>
      <c r="K17" s="24">
        <f t="shared" si="5"/>
        <v>15</v>
      </c>
      <c r="L17" s="24">
        <f t="shared" si="6"/>
        <v>17</v>
      </c>
      <c r="M17" s="24">
        <f t="shared" si="7"/>
        <v>19</v>
      </c>
      <c r="N17" s="23">
        <v>21</v>
      </c>
      <c r="O17" s="24">
        <f t="shared" si="8"/>
        <v>24</v>
      </c>
      <c r="P17" s="24">
        <f t="shared" si="9"/>
        <v>27</v>
      </c>
      <c r="Q17" s="24">
        <f t="shared" si="10"/>
        <v>30</v>
      </c>
      <c r="R17" s="24">
        <f t="shared" si="11"/>
        <v>33</v>
      </c>
      <c r="S17" s="23">
        <v>36</v>
      </c>
      <c r="T17" s="24">
        <f t="shared" si="12"/>
        <v>37</v>
      </c>
      <c r="U17" s="24">
        <f t="shared" si="13"/>
        <v>38</v>
      </c>
      <c r="V17" s="24">
        <f t="shared" si="14"/>
        <v>39</v>
      </c>
      <c r="W17" s="24">
        <f t="shared" si="15"/>
        <v>40</v>
      </c>
      <c r="X17" s="23">
        <v>41</v>
      </c>
      <c r="Y17" s="24">
        <f t="shared" si="16"/>
        <v>42.8</v>
      </c>
      <c r="Z17" s="24">
        <f t="shared" si="17"/>
        <v>44.6</v>
      </c>
      <c r="AA17" s="24">
        <f t="shared" si="18"/>
        <v>46.4</v>
      </c>
      <c r="AB17" s="24">
        <f t="shared" si="19"/>
        <v>48.2</v>
      </c>
      <c r="AC17" s="23">
        <v>50</v>
      </c>
      <c r="AD17" s="24">
        <f t="shared" si="20"/>
        <v>52.2</v>
      </c>
      <c r="AE17" s="24">
        <f t="shared" si="21"/>
        <v>54.4</v>
      </c>
      <c r="AF17" s="24">
        <f t="shared" si="22"/>
        <v>56.6</v>
      </c>
      <c r="AG17" s="24">
        <f t="shared" si="23"/>
        <v>58.8</v>
      </c>
      <c r="AH17" s="23">
        <v>61</v>
      </c>
      <c r="AI17" s="24">
        <f t="shared" si="24"/>
        <v>63.2</v>
      </c>
      <c r="AJ17" s="24">
        <f t="shared" si="25"/>
        <v>65.400000000000006</v>
      </c>
      <c r="AK17" s="24">
        <f t="shared" si="26"/>
        <v>67.599999999999994</v>
      </c>
      <c r="AL17" s="24">
        <f t="shared" si="27"/>
        <v>69.8</v>
      </c>
      <c r="AM17" s="23">
        <v>72</v>
      </c>
      <c r="AN17" s="24">
        <f t="shared" si="28"/>
        <v>74.400000000000006</v>
      </c>
      <c r="AO17" s="24">
        <f t="shared" si="29"/>
        <v>76.8</v>
      </c>
      <c r="AP17" s="24">
        <f t="shared" si="30"/>
        <v>79.2</v>
      </c>
      <c r="AQ17" s="24">
        <f t="shared" si="31"/>
        <v>81.599999999999994</v>
      </c>
      <c r="AR17" s="23">
        <v>84</v>
      </c>
      <c r="AS17" s="24">
        <f t="shared" si="32"/>
        <v>86.1</v>
      </c>
      <c r="AT17" s="24">
        <f t="shared" si="33"/>
        <v>88.2</v>
      </c>
      <c r="AU17" s="24">
        <f t="shared" si="34"/>
        <v>90.3</v>
      </c>
      <c r="AV17" s="24">
        <f t="shared" si="35"/>
        <v>92.4</v>
      </c>
      <c r="AW17" s="24">
        <f t="shared" si="36"/>
        <v>94.5</v>
      </c>
      <c r="AX17" s="24">
        <f t="shared" si="37"/>
        <v>96.6</v>
      </c>
      <c r="AY17" s="24">
        <f t="shared" si="38"/>
        <v>98.7</v>
      </c>
      <c r="AZ17" s="24">
        <f t="shared" si="39"/>
        <v>100.8</v>
      </c>
      <c r="BA17" s="24">
        <f t="shared" si="40"/>
        <v>102.9</v>
      </c>
      <c r="BB17" s="23">
        <v>105</v>
      </c>
      <c r="BC17" s="24">
        <f t="shared" si="41"/>
        <v>107.2</v>
      </c>
      <c r="BD17" s="24">
        <f t="shared" si="42"/>
        <v>109.4</v>
      </c>
      <c r="BE17" s="24">
        <f t="shared" si="43"/>
        <v>111.6</v>
      </c>
      <c r="BF17" s="24">
        <f t="shared" si="44"/>
        <v>113.8</v>
      </c>
      <c r="BG17" s="24">
        <f t="shared" si="45"/>
        <v>116</v>
      </c>
      <c r="BH17" s="24">
        <f t="shared" si="46"/>
        <v>118.2</v>
      </c>
      <c r="BI17" s="24">
        <f t="shared" si="47"/>
        <v>120.4</v>
      </c>
      <c r="BJ17" s="24">
        <f t="shared" si="48"/>
        <v>122.6</v>
      </c>
      <c r="BK17" s="24">
        <f t="shared" si="49"/>
        <v>124.8</v>
      </c>
      <c r="BL17" s="23">
        <v>127</v>
      </c>
      <c r="BM17" s="24">
        <f t="shared" si="50"/>
        <v>129.19999999999999</v>
      </c>
      <c r="BN17" s="24">
        <f t="shared" si="51"/>
        <v>131.4</v>
      </c>
      <c r="BO17" s="24">
        <f t="shared" si="52"/>
        <v>133.6</v>
      </c>
      <c r="BP17" s="24">
        <f t="shared" si="53"/>
        <v>135.80000000000001</v>
      </c>
      <c r="BQ17" s="24">
        <f t="shared" si="54"/>
        <v>138</v>
      </c>
      <c r="BR17" s="24">
        <f t="shared" si="55"/>
        <v>140.19999999999999</v>
      </c>
      <c r="BS17" s="24">
        <f t="shared" si="56"/>
        <v>142.4</v>
      </c>
      <c r="BT17" s="24">
        <f t="shared" si="57"/>
        <v>144.6</v>
      </c>
      <c r="BU17" s="24">
        <f t="shared" si="58"/>
        <v>146.80000000000001</v>
      </c>
      <c r="BV17" s="23">
        <v>149</v>
      </c>
      <c r="BW17" s="24">
        <f t="shared" si="59"/>
        <v>151.19999999999999</v>
      </c>
      <c r="BX17" s="24">
        <f t="shared" si="60"/>
        <v>153.4</v>
      </c>
      <c r="BY17" s="24">
        <f t="shared" si="61"/>
        <v>155.6</v>
      </c>
      <c r="BZ17" s="24">
        <f t="shared" si="62"/>
        <v>157.80000000000001</v>
      </c>
      <c r="CA17" s="23">
        <v>160</v>
      </c>
      <c r="CB17" s="24">
        <f t="shared" si="63"/>
        <v>162.19999999999999</v>
      </c>
      <c r="CC17" s="24">
        <f t="shared" si="64"/>
        <v>164.4</v>
      </c>
      <c r="CD17" s="24">
        <f t="shared" si="65"/>
        <v>166.6</v>
      </c>
      <c r="CE17" s="24">
        <f t="shared" si="66"/>
        <v>168.8</v>
      </c>
      <c r="CF17" s="23">
        <v>171</v>
      </c>
      <c r="CG17" s="24">
        <f t="shared" si="67"/>
        <v>173.2</v>
      </c>
      <c r="CH17" s="24">
        <f t="shared" si="68"/>
        <v>175.4</v>
      </c>
      <c r="CI17" s="24">
        <f t="shared" si="69"/>
        <v>177.6</v>
      </c>
      <c r="CJ17" s="24">
        <f t="shared" si="70"/>
        <v>179.8</v>
      </c>
      <c r="CK17" s="23">
        <v>182</v>
      </c>
      <c r="CL17" s="24">
        <f t="shared" si="71"/>
        <v>184.14285714285714</v>
      </c>
      <c r="CM17" s="24">
        <f t="shared" si="72"/>
        <v>186.28571428571428</v>
      </c>
      <c r="CN17" s="24">
        <f t="shared" si="73"/>
        <v>188.42857142857142</v>
      </c>
      <c r="CO17" s="24">
        <f t="shared" si="74"/>
        <v>190.57142857142858</v>
      </c>
      <c r="CP17" s="24">
        <f t="shared" si="75"/>
        <v>192.71428571428572</v>
      </c>
      <c r="CQ17" s="24">
        <f t="shared" si="76"/>
        <v>194.85714285714286</v>
      </c>
      <c r="CR17" s="24">
        <f t="shared" si="77"/>
        <v>197</v>
      </c>
      <c r="CS17" s="24">
        <f t="shared" si="78"/>
        <v>199.14285714285714</v>
      </c>
      <c r="CT17" s="24">
        <f t="shared" si="79"/>
        <v>201.28571428571428</v>
      </c>
      <c r="CU17" s="24">
        <f t="shared" si="80"/>
        <v>203.42857142857142</v>
      </c>
      <c r="CV17" s="24">
        <f t="shared" si="81"/>
        <v>205.57142857142856</v>
      </c>
      <c r="CW17" s="24">
        <f t="shared" si="82"/>
        <v>207.71428571428572</v>
      </c>
      <c r="CX17" s="24">
        <f t="shared" si="83"/>
        <v>209.85714285714286</v>
      </c>
      <c r="CY17" s="29">
        <v>212</v>
      </c>
    </row>
    <row r="18" spans="3:103" ht="16.5" thickTop="1" thickBot="1" x14ac:dyDescent="0.3">
      <c r="C18" s="20">
        <f>Inputs!F45</f>
        <v>1000</v>
      </c>
      <c r="D18" s="23">
        <v>0</v>
      </c>
      <c r="E18" s="24">
        <f t="shared" si="0"/>
        <v>2.4</v>
      </c>
      <c r="F18" s="24">
        <f t="shared" si="1"/>
        <v>4.8</v>
      </c>
      <c r="G18" s="24">
        <f t="shared" si="2"/>
        <v>7.1999999999999993</v>
      </c>
      <c r="H18" s="24">
        <f t="shared" si="3"/>
        <v>9.6</v>
      </c>
      <c r="I18" s="23">
        <v>12</v>
      </c>
      <c r="J18" s="24">
        <f t="shared" si="4"/>
        <v>14</v>
      </c>
      <c r="K18" s="24">
        <f t="shared" si="5"/>
        <v>16</v>
      </c>
      <c r="L18" s="24">
        <f t="shared" si="6"/>
        <v>18</v>
      </c>
      <c r="M18" s="24">
        <f t="shared" si="7"/>
        <v>20</v>
      </c>
      <c r="N18" s="23">
        <v>22</v>
      </c>
      <c r="O18" s="24">
        <f t="shared" si="8"/>
        <v>24.8</v>
      </c>
      <c r="P18" s="24">
        <f t="shared" si="9"/>
        <v>27.6</v>
      </c>
      <c r="Q18" s="24">
        <f t="shared" si="10"/>
        <v>30.4</v>
      </c>
      <c r="R18" s="24">
        <f t="shared" si="11"/>
        <v>33.200000000000003</v>
      </c>
      <c r="S18" s="23">
        <v>36</v>
      </c>
      <c r="T18" s="24">
        <f t="shared" si="12"/>
        <v>37</v>
      </c>
      <c r="U18" s="24">
        <f t="shared" si="13"/>
        <v>38</v>
      </c>
      <c r="V18" s="24">
        <f t="shared" si="14"/>
        <v>39</v>
      </c>
      <c r="W18" s="24">
        <f t="shared" si="15"/>
        <v>40</v>
      </c>
      <c r="X18" s="23">
        <v>41</v>
      </c>
      <c r="Y18" s="24">
        <f t="shared" si="16"/>
        <v>42.8</v>
      </c>
      <c r="Z18" s="24">
        <f t="shared" si="17"/>
        <v>44.6</v>
      </c>
      <c r="AA18" s="24">
        <f t="shared" si="18"/>
        <v>46.4</v>
      </c>
      <c r="AB18" s="24">
        <f t="shared" si="19"/>
        <v>48.2</v>
      </c>
      <c r="AC18" s="23">
        <v>50</v>
      </c>
      <c r="AD18" s="24">
        <f t="shared" si="20"/>
        <v>52.4</v>
      </c>
      <c r="AE18" s="24">
        <f t="shared" si="21"/>
        <v>54.8</v>
      </c>
      <c r="AF18" s="24">
        <f t="shared" si="22"/>
        <v>57.2</v>
      </c>
      <c r="AG18" s="24">
        <f t="shared" si="23"/>
        <v>59.6</v>
      </c>
      <c r="AH18" s="23">
        <v>62</v>
      </c>
      <c r="AI18" s="24">
        <f t="shared" si="24"/>
        <v>64.2</v>
      </c>
      <c r="AJ18" s="24">
        <f t="shared" si="25"/>
        <v>66.400000000000006</v>
      </c>
      <c r="AK18" s="24">
        <f t="shared" si="26"/>
        <v>68.599999999999994</v>
      </c>
      <c r="AL18" s="24">
        <f t="shared" si="27"/>
        <v>70.8</v>
      </c>
      <c r="AM18" s="23">
        <v>73</v>
      </c>
      <c r="AN18" s="24">
        <f t="shared" si="28"/>
        <v>75.2</v>
      </c>
      <c r="AO18" s="24">
        <f t="shared" si="29"/>
        <v>77.400000000000006</v>
      </c>
      <c r="AP18" s="24">
        <f t="shared" si="30"/>
        <v>79.599999999999994</v>
      </c>
      <c r="AQ18" s="24">
        <f t="shared" si="31"/>
        <v>81.8</v>
      </c>
      <c r="AR18" s="23">
        <v>84</v>
      </c>
      <c r="AS18" s="24">
        <f t="shared" si="32"/>
        <v>86.2</v>
      </c>
      <c r="AT18" s="24">
        <f t="shared" si="33"/>
        <v>88.4</v>
      </c>
      <c r="AU18" s="24">
        <f t="shared" si="34"/>
        <v>90.6</v>
      </c>
      <c r="AV18" s="24">
        <f t="shared" si="35"/>
        <v>92.8</v>
      </c>
      <c r="AW18" s="24">
        <f t="shared" si="36"/>
        <v>95</v>
      </c>
      <c r="AX18" s="24">
        <f t="shared" si="37"/>
        <v>97.2</v>
      </c>
      <c r="AY18" s="24">
        <f t="shared" si="38"/>
        <v>99.4</v>
      </c>
      <c r="AZ18" s="24">
        <f t="shared" si="39"/>
        <v>101.6</v>
      </c>
      <c r="BA18" s="24">
        <f t="shared" si="40"/>
        <v>103.8</v>
      </c>
      <c r="BB18" s="23">
        <v>106</v>
      </c>
      <c r="BC18" s="24">
        <f t="shared" si="41"/>
        <v>108.1</v>
      </c>
      <c r="BD18" s="24">
        <f t="shared" si="42"/>
        <v>110.2</v>
      </c>
      <c r="BE18" s="24">
        <f t="shared" si="43"/>
        <v>112.3</v>
      </c>
      <c r="BF18" s="24">
        <f t="shared" si="44"/>
        <v>114.4</v>
      </c>
      <c r="BG18" s="24">
        <f t="shared" si="45"/>
        <v>116.5</v>
      </c>
      <c r="BH18" s="24">
        <f t="shared" si="46"/>
        <v>118.6</v>
      </c>
      <c r="BI18" s="24">
        <f t="shared" si="47"/>
        <v>120.7</v>
      </c>
      <c r="BJ18" s="24">
        <f t="shared" si="48"/>
        <v>122.8</v>
      </c>
      <c r="BK18" s="24">
        <f t="shared" si="49"/>
        <v>124.9</v>
      </c>
      <c r="BL18" s="23">
        <v>127</v>
      </c>
      <c r="BM18" s="24">
        <f t="shared" si="50"/>
        <v>129.19999999999999</v>
      </c>
      <c r="BN18" s="24">
        <f t="shared" si="51"/>
        <v>131.4</v>
      </c>
      <c r="BO18" s="24">
        <f t="shared" si="52"/>
        <v>133.6</v>
      </c>
      <c r="BP18" s="24">
        <f t="shared" si="53"/>
        <v>135.80000000000001</v>
      </c>
      <c r="BQ18" s="24">
        <f t="shared" si="54"/>
        <v>138</v>
      </c>
      <c r="BR18" s="24">
        <f t="shared" si="55"/>
        <v>140.19999999999999</v>
      </c>
      <c r="BS18" s="24">
        <f t="shared" si="56"/>
        <v>142.4</v>
      </c>
      <c r="BT18" s="24">
        <f t="shared" si="57"/>
        <v>144.6</v>
      </c>
      <c r="BU18" s="24">
        <f t="shared" si="58"/>
        <v>146.80000000000001</v>
      </c>
      <c r="BV18" s="23">
        <v>149</v>
      </c>
      <c r="BW18" s="24">
        <f t="shared" si="59"/>
        <v>151.19999999999999</v>
      </c>
      <c r="BX18" s="24">
        <f t="shared" si="60"/>
        <v>153.4</v>
      </c>
      <c r="BY18" s="24">
        <f t="shared" si="61"/>
        <v>155.6</v>
      </c>
      <c r="BZ18" s="24">
        <f t="shared" si="62"/>
        <v>157.80000000000001</v>
      </c>
      <c r="CA18" s="23">
        <v>160</v>
      </c>
      <c r="CB18" s="24">
        <f t="shared" si="63"/>
        <v>162.19999999999999</v>
      </c>
      <c r="CC18" s="24">
        <f t="shared" si="64"/>
        <v>164.4</v>
      </c>
      <c r="CD18" s="24">
        <f t="shared" si="65"/>
        <v>166.6</v>
      </c>
      <c r="CE18" s="24">
        <f t="shared" si="66"/>
        <v>168.8</v>
      </c>
      <c r="CF18" s="23">
        <v>171</v>
      </c>
      <c r="CG18" s="24">
        <f t="shared" si="67"/>
        <v>173.2</v>
      </c>
      <c r="CH18" s="24">
        <f t="shared" si="68"/>
        <v>175.4</v>
      </c>
      <c r="CI18" s="24">
        <f t="shared" si="69"/>
        <v>177.6</v>
      </c>
      <c r="CJ18" s="24">
        <f t="shared" si="70"/>
        <v>179.8</v>
      </c>
      <c r="CK18" s="23">
        <v>182</v>
      </c>
      <c r="CL18" s="24">
        <f t="shared" si="71"/>
        <v>184.21428571428572</v>
      </c>
      <c r="CM18" s="24">
        <f t="shared" si="72"/>
        <v>186.42857142857142</v>
      </c>
      <c r="CN18" s="24">
        <f t="shared" si="73"/>
        <v>188.64285714285714</v>
      </c>
      <c r="CO18" s="24">
        <f t="shared" si="74"/>
        <v>190.85714285714286</v>
      </c>
      <c r="CP18" s="24">
        <f t="shared" si="75"/>
        <v>193.07142857142858</v>
      </c>
      <c r="CQ18" s="24">
        <f t="shared" si="76"/>
        <v>195.28571428571428</v>
      </c>
      <c r="CR18" s="24">
        <f t="shared" si="77"/>
        <v>197.5</v>
      </c>
      <c r="CS18" s="24">
        <f t="shared" si="78"/>
        <v>199.71428571428572</v>
      </c>
      <c r="CT18" s="24">
        <f t="shared" si="79"/>
        <v>201.92857142857144</v>
      </c>
      <c r="CU18" s="24">
        <f t="shared" si="80"/>
        <v>204.14285714285714</v>
      </c>
      <c r="CV18" s="24">
        <f t="shared" si="81"/>
        <v>206.35714285714286</v>
      </c>
      <c r="CW18" s="24">
        <f t="shared" si="82"/>
        <v>208.57142857142858</v>
      </c>
      <c r="CX18" s="24">
        <f t="shared" si="83"/>
        <v>210.78571428571428</v>
      </c>
      <c r="CY18" s="29">
        <v>213</v>
      </c>
    </row>
    <row r="19" spans="3:103" ht="16.5" thickTop="1" thickBot="1" x14ac:dyDescent="0.3">
      <c r="C19" s="20">
        <f>Inputs!F46</f>
        <v>1240</v>
      </c>
      <c r="D19" s="23">
        <v>0</v>
      </c>
      <c r="E19" s="24">
        <f t="shared" si="0"/>
        <v>2.4</v>
      </c>
      <c r="F19" s="24">
        <f t="shared" si="1"/>
        <v>4.8</v>
      </c>
      <c r="G19" s="24">
        <f t="shared" si="2"/>
        <v>7.1999999999999993</v>
      </c>
      <c r="H19" s="24">
        <f t="shared" si="3"/>
        <v>9.6</v>
      </c>
      <c r="I19" s="23">
        <v>12</v>
      </c>
      <c r="J19" s="24">
        <f t="shared" si="4"/>
        <v>14</v>
      </c>
      <c r="K19" s="24">
        <f t="shared" si="5"/>
        <v>16</v>
      </c>
      <c r="L19" s="24">
        <f t="shared" si="6"/>
        <v>18</v>
      </c>
      <c r="M19" s="24">
        <f t="shared" si="7"/>
        <v>20</v>
      </c>
      <c r="N19" s="23">
        <v>22</v>
      </c>
      <c r="O19" s="24">
        <f t="shared" si="8"/>
        <v>24.8</v>
      </c>
      <c r="P19" s="24">
        <f t="shared" si="9"/>
        <v>27.6</v>
      </c>
      <c r="Q19" s="24">
        <f t="shared" si="10"/>
        <v>30.4</v>
      </c>
      <c r="R19" s="24">
        <f t="shared" si="11"/>
        <v>33.200000000000003</v>
      </c>
      <c r="S19" s="23">
        <v>36</v>
      </c>
      <c r="T19" s="24">
        <f t="shared" si="12"/>
        <v>37.200000000000003</v>
      </c>
      <c r="U19" s="24">
        <f t="shared" si="13"/>
        <v>38.4</v>
      </c>
      <c r="V19" s="24">
        <f t="shared" si="14"/>
        <v>39.6</v>
      </c>
      <c r="W19" s="24">
        <f t="shared" si="15"/>
        <v>40.799999999999997</v>
      </c>
      <c r="X19" s="23">
        <v>42</v>
      </c>
      <c r="Y19" s="24">
        <f t="shared" si="16"/>
        <v>43.6</v>
      </c>
      <c r="Z19" s="24">
        <f t="shared" si="17"/>
        <v>45.2</v>
      </c>
      <c r="AA19" s="24">
        <f t="shared" si="18"/>
        <v>46.8</v>
      </c>
      <c r="AB19" s="24">
        <f t="shared" si="19"/>
        <v>48.4</v>
      </c>
      <c r="AC19" s="23">
        <v>50</v>
      </c>
      <c r="AD19" s="24">
        <f t="shared" si="20"/>
        <v>52.4</v>
      </c>
      <c r="AE19" s="24">
        <f t="shared" si="21"/>
        <v>54.8</v>
      </c>
      <c r="AF19" s="24">
        <f t="shared" si="22"/>
        <v>57.2</v>
      </c>
      <c r="AG19" s="24">
        <f t="shared" si="23"/>
        <v>59.6</v>
      </c>
      <c r="AH19" s="23">
        <v>62</v>
      </c>
      <c r="AI19" s="24">
        <f t="shared" si="24"/>
        <v>64.2</v>
      </c>
      <c r="AJ19" s="24">
        <f t="shared" si="25"/>
        <v>66.400000000000006</v>
      </c>
      <c r="AK19" s="24">
        <f t="shared" si="26"/>
        <v>68.599999999999994</v>
      </c>
      <c r="AL19" s="24">
        <f t="shared" si="27"/>
        <v>70.8</v>
      </c>
      <c r="AM19" s="23">
        <v>73</v>
      </c>
      <c r="AN19" s="24">
        <f t="shared" si="28"/>
        <v>75.2</v>
      </c>
      <c r="AO19" s="24">
        <f t="shared" si="29"/>
        <v>77.400000000000006</v>
      </c>
      <c r="AP19" s="24">
        <f t="shared" si="30"/>
        <v>79.599999999999994</v>
      </c>
      <c r="AQ19" s="24">
        <f t="shared" si="31"/>
        <v>81.8</v>
      </c>
      <c r="AR19" s="23">
        <v>84</v>
      </c>
      <c r="AS19" s="24">
        <f t="shared" si="32"/>
        <v>86.2</v>
      </c>
      <c r="AT19" s="24">
        <f t="shared" si="33"/>
        <v>88.4</v>
      </c>
      <c r="AU19" s="24">
        <f t="shared" si="34"/>
        <v>90.6</v>
      </c>
      <c r="AV19" s="24">
        <f t="shared" si="35"/>
        <v>92.8</v>
      </c>
      <c r="AW19" s="24">
        <f t="shared" si="36"/>
        <v>95</v>
      </c>
      <c r="AX19" s="24">
        <f t="shared" si="37"/>
        <v>97.2</v>
      </c>
      <c r="AY19" s="24">
        <f t="shared" si="38"/>
        <v>99.4</v>
      </c>
      <c r="AZ19" s="24">
        <f t="shared" si="39"/>
        <v>101.6</v>
      </c>
      <c r="BA19" s="24">
        <f t="shared" si="40"/>
        <v>103.8</v>
      </c>
      <c r="BB19" s="23">
        <v>106</v>
      </c>
      <c r="BC19" s="24">
        <f t="shared" si="41"/>
        <v>108.2</v>
      </c>
      <c r="BD19" s="24">
        <f t="shared" si="42"/>
        <v>110.4</v>
      </c>
      <c r="BE19" s="24">
        <f t="shared" si="43"/>
        <v>112.6</v>
      </c>
      <c r="BF19" s="24">
        <f t="shared" si="44"/>
        <v>114.8</v>
      </c>
      <c r="BG19" s="24">
        <f t="shared" si="45"/>
        <v>117</v>
      </c>
      <c r="BH19" s="24">
        <f t="shared" si="46"/>
        <v>119.2</v>
      </c>
      <c r="BI19" s="24">
        <f t="shared" si="47"/>
        <v>121.4</v>
      </c>
      <c r="BJ19" s="24">
        <f t="shared" si="48"/>
        <v>123.6</v>
      </c>
      <c r="BK19" s="24">
        <f t="shared" si="49"/>
        <v>125.8</v>
      </c>
      <c r="BL19" s="23">
        <v>128</v>
      </c>
      <c r="BM19" s="24">
        <f t="shared" si="50"/>
        <v>130.19999999999999</v>
      </c>
      <c r="BN19" s="24">
        <f t="shared" si="51"/>
        <v>132.4</v>
      </c>
      <c r="BO19" s="24">
        <f t="shared" si="52"/>
        <v>134.6</v>
      </c>
      <c r="BP19" s="24">
        <f t="shared" si="53"/>
        <v>136.80000000000001</v>
      </c>
      <c r="BQ19" s="24">
        <f t="shared" si="54"/>
        <v>139</v>
      </c>
      <c r="BR19" s="24">
        <f t="shared" si="55"/>
        <v>141.19999999999999</v>
      </c>
      <c r="BS19" s="24">
        <f t="shared" si="56"/>
        <v>143.4</v>
      </c>
      <c r="BT19" s="24">
        <f t="shared" si="57"/>
        <v>145.6</v>
      </c>
      <c r="BU19" s="24">
        <f t="shared" si="58"/>
        <v>147.80000000000001</v>
      </c>
      <c r="BV19" s="23">
        <v>150</v>
      </c>
      <c r="BW19" s="24">
        <f t="shared" si="59"/>
        <v>152.19999999999999</v>
      </c>
      <c r="BX19" s="24">
        <f t="shared" si="60"/>
        <v>154.4</v>
      </c>
      <c r="BY19" s="24">
        <f t="shared" si="61"/>
        <v>156.6</v>
      </c>
      <c r="BZ19" s="24">
        <f t="shared" si="62"/>
        <v>158.80000000000001</v>
      </c>
      <c r="CA19" s="23">
        <v>161</v>
      </c>
      <c r="CB19" s="24">
        <f t="shared" si="63"/>
        <v>163.19999999999999</v>
      </c>
      <c r="CC19" s="24">
        <f t="shared" si="64"/>
        <v>165.4</v>
      </c>
      <c r="CD19" s="24">
        <f t="shared" si="65"/>
        <v>167.6</v>
      </c>
      <c r="CE19" s="24">
        <f t="shared" si="66"/>
        <v>169.8</v>
      </c>
      <c r="CF19" s="23">
        <v>172</v>
      </c>
      <c r="CG19" s="24">
        <f t="shared" si="67"/>
        <v>174.2</v>
      </c>
      <c r="CH19" s="24">
        <f t="shared" si="68"/>
        <v>176.4</v>
      </c>
      <c r="CI19" s="24">
        <f t="shared" si="69"/>
        <v>178.6</v>
      </c>
      <c r="CJ19" s="24">
        <f t="shared" si="70"/>
        <v>180.8</v>
      </c>
      <c r="CK19" s="23">
        <v>183</v>
      </c>
      <c r="CL19" s="24">
        <f t="shared" si="71"/>
        <v>185.14285714285714</v>
      </c>
      <c r="CM19" s="24">
        <f t="shared" si="72"/>
        <v>187.28571428571428</v>
      </c>
      <c r="CN19" s="24">
        <f t="shared" si="73"/>
        <v>189.42857142857142</v>
      </c>
      <c r="CO19" s="24">
        <f t="shared" si="74"/>
        <v>191.57142857142858</v>
      </c>
      <c r="CP19" s="24">
        <f t="shared" si="75"/>
        <v>193.71428571428572</v>
      </c>
      <c r="CQ19" s="24">
        <f t="shared" si="76"/>
        <v>195.85714285714286</v>
      </c>
      <c r="CR19" s="24">
        <f t="shared" si="77"/>
        <v>198</v>
      </c>
      <c r="CS19" s="24">
        <f t="shared" si="78"/>
        <v>200.14285714285714</v>
      </c>
      <c r="CT19" s="24">
        <f t="shared" si="79"/>
        <v>202.28571428571428</v>
      </c>
      <c r="CU19" s="24">
        <f t="shared" si="80"/>
        <v>204.42857142857142</v>
      </c>
      <c r="CV19" s="24">
        <f t="shared" si="81"/>
        <v>206.57142857142856</v>
      </c>
      <c r="CW19" s="24">
        <f t="shared" si="82"/>
        <v>208.71428571428572</v>
      </c>
      <c r="CX19" s="24">
        <f t="shared" si="83"/>
        <v>210.85714285714286</v>
      </c>
      <c r="CY19" s="29">
        <v>213</v>
      </c>
    </row>
    <row r="20" spans="3:103" ht="16.5" thickTop="1" thickBot="1" x14ac:dyDescent="0.3">
      <c r="C20" s="20">
        <f>Inputs!F47</f>
        <v>1520</v>
      </c>
      <c r="D20" s="23">
        <v>0</v>
      </c>
      <c r="E20" s="24">
        <f t="shared" si="0"/>
        <v>2.4</v>
      </c>
      <c r="F20" s="24">
        <f t="shared" si="1"/>
        <v>4.8</v>
      </c>
      <c r="G20" s="24">
        <f t="shared" si="2"/>
        <v>7.1999999999999993</v>
      </c>
      <c r="H20" s="24">
        <f t="shared" si="3"/>
        <v>9.6</v>
      </c>
      <c r="I20" s="23">
        <v>12</v>
      </c>
      <c r="J20" s="24">
        <f t="shared" si="4"/>
        <v>14</v>
      </c>
      <c r="K20" s="24">
        <f t="shared" si="5"/>
        <v>16</v>
      </c>
      <c r="L20" s="24">
        <f t="shared" si="6"/>
        <v>18</v>
      </c>
      <c r="M20" s="24">
        <f t="shared" si="7"/>
        <v>20</v>
      </c>
      <c r="N20" s="23">
        <v>22</v>
      </c>
      <c r="O20" s="24">
        <f t="shared" si="8"/>
        <v>25</v>
      </c>
      <c r="P20" s="24">
        <f t="shared" si="9"/>
        <v>28</v>
      </c>
      <c r="Q20" s="24">
        <f t="shared" si="10"/>
        <v>31</v>
      </c>
      <c r="R20" s="24">
        <f t="shared" si="11"/>
        <v>34</v>
      </c>
      <c r="S20" s="23">
        <v>37</v>
      </c>
      <c r="T20" s="24">
        <f t="shared" si="12"/>
        <v>38</v>
      </c>
      <c r="U20" s="24">
        <f t="shared" si="13"/>
        <v>39</v>
      </c>
      <c r="V20" s="24">
        <f t="shared" si="14"/>
        <v>40</v>
      </c>
      <c r="W20" s="24">
        <f t="shared" si="15"/>
        <v>41</v>
      </c>
      <c r="X20" s="23">
        <v>42</v>
      </c>
      <c r="Y20" s="24">
        <f t="shared" si="16"/>
        <v>43.8</v>
      </c>
      <c r="Z20" s="24">
        <f t="shared" si="17"/>
        <v>45.6</v>
      </c>
      <c r="AA20" s="24">
        <f t="shared" si="18"/>
        <v>47.4</v>
      </c>
      <c r="AB20" s="24">
        <f t="shared" si="19"/>
        <v>49.2</v>
      </c>
      <c r="AC20" s="23">
        <v>51</v>
      </c>
      <c r="AD20" s="24">
        <f t="shared" si="20"/>
        <v>53.4</v>
      </c>
      <c r="AE20" s="24">
        <f t="shared" si="21"/>
        <v>55.8</v>
      </c>
      <c r="AF20" s="24">
        <f t="shared" si="22"/>
        <v>58.2</v>
      </c>
      <c r="AG20" s="24">
        <f t="shared" si="23"/>
        <v>60.6</v>
      </c>
      <c r="AH20" s="23">
        <v>63</v>
      </c>
      <c r="AI20" s="24">
        <f t="shared" si="24"/>
        <v>65.2</v>
      </c>
      <c r="AJ20" s="24">
        <f t="shared" si="25"/>
        <v>67.400000000000006</v>
      </c>
      <c r="AK20" s="24">
        <f t="shared" si="26"/>
        <v>69.599999999999994</v>
      </c>
      <c r="AL20" s="24">
        <f t="shared" si="27"/>
        <v>71.8</v>
      </c>
      <c r="AM20" s="23">
        <v>74</v>
      </c>
      <c r="AN20" s="24">
        <f t="shared" si="28"/>
        <v>76.2</v>
      </c>
      <c r="AO20" s="24">
        <f t="shared" si="29"/>
        <v>78.400000000000006</v>
      </c>
      <c r="AP20" s="24">
        <f t="shared" si="30"/>
        <v>80.599999999999994</v>
      </c>
      <c r="AQ20" s="24">
        <f t="shared" si="31"/>
        <v>82.8</v>
      </c>
      <c r="AR20" s="23">
        <v>85</v>
      </c>
      <c r="AS20" s="24">
        <f t="shared" si="32"/>
        <v>87.1</v>
      </c>
      <c r="AT20" s="24">
        <f t="shared" si="33"/>
        <v>89.2</v>
      </c>
      <c r="AU20" s="24">
        <f t="shared" si="34"/>
        <v>91.3</v>
      </c>
      <c r="AV20" s="24">
        <f t="shared" si="35"/>
        <v>93.4</v>
      </c>
      <c r="AW20" s="24">
        <f t="shared" si="36"/>
        <v>95.5</v>
      </c>
      <c r="AX20" s="24">
        <f t="shared" si="37"/>
        <v>97.6</v>
      </c>
      <c r="AY20" s="24">
        <f t="shared" si="38"/>
        <v>99.7</v>
      </c>
      <c r="AZ20" s="24">
        <f t="shared" si="39"/>
        <v>101.8</v>
      </c>
      <c r="BA20" s="24">
        <f t="shared" si="40"/>
        <v>103.9</v>
      </c>
      <c r="BB20" s="23">
        <v>106</v>
      </c>
      <c r="BC20" s="24">
        <f t="shared" si="41"/>
        <v>108.2</v>
      </c>
      <c r="BD20" s="24">
        <f t="shared" si="42"/>
        <v>110.4</v>
      </c>
      <c r="BE20" s="24">
        <f t="shared" si="43"/>
        <v>112.6</v>
      </c>
      <c r="BF20" s="24">
        <f t="shared" si="44"/>
        <v>114.8</v>
      </c>
      <c r="BG20" s="24">
        <f t="shared" si="45"/>
        <v>117</v>
      </c>
      <c r="BH20" s="24">
        <f t="shared" si="46"/>
        <v>119.2</v>
      </c>
      <c r="BI20" s="24">
        <f t="shared" si="47"/>
        <v>121.4</v>
      </c>
      <c r="BJ20" s="24">
        <f t="shared" si="48"/>
        <v>123.6</v>
      </c>
      <c r="BK20" s="24">
        <f t="shared" si="49"/>
        <v>125.8</v>
      </c>
      <c r="BL20" s="23">
        <v>128</v>
      </c>
      <c r="BM20" s="24">
        <f t="shared" si="50"/>
        <v>130.19999999999999</v>
      </c>
      <c r="BN20" s="24">
        <f t="shared" si="51"/>
        <v>132.4</v>
      </c>
      <c r="BO20" s="24">
        <f t="shared" si="52"/>
        <v>134.6</v>
      </c>
      <c r="BP20" s="24">
        <f t="shared" si="53"/>
        <v>136.80000000000001</v>
      </c>
      <c r="BQ20" s="24">
        <f t="shared" si="54"/>
        <v>139</v>
      </c>
      <c r="BR20" s="24">
        <f t="shared" si="55"/>
        <v>141.19999999999999</v>
      </c>
      <c r="BS20" s="24">
        <f t="shared" si="56"/>
        <v>143.4</v>
      </c>
      <c r="BT20" s="24">
        <f t="shared" si="57"/>
        <v>145.6</v>
      </c>
      <c r="BU20" s="24">
        <f t="shared" si="58"/>
        <v>147.80000000000001</v>
      </c>
      <c r="BV20" s="23">
        <v>150</v>
      </c>
      <c r="BW20" s="24">
        <f t="shared" si="59"/>
        <v>152.19999999999999</v>
      </c>
      <c r="BX20" s="24">
        <f t="shared" si="60"/>
        <v>154.4</v>
      </c>
      <c r="BY20" s="24">
        <f t="shared" si="61"/>
        <v>156.6</v>
      </c>
      <c r="BZ20" s="24">
        <f t="shared" si="62"/>
        <v>158.80000000000001</v>
      </c>
      <c r="CA20" s="23">
        <v>161</v>
      </c>
      <c r="CB20" s="24">
        <f t="shared" si="63"/>
        <v>163.19999999999999</v>
      </c>
      <c r="CC20" s="24">
        <f t="shared" si="64"/>
        <v>165.4</v>
      </c>
      <c r="CD20" s="24">
        <f t="shared" si="65"/>
        <v>167.6</v>
      </c>
      <c r="CE20" s="24">
        <f t="shared" si="66"/>
        <v>169.8</v>
      </c>
      <c r="CF20" s="23">
        <v>172</v>
      </c>
      <c r="CG20" s="24">
        <f t="shared" si="67"/>
        <v>174.2</v>
      </c>
      <c r="CH20" s="24">
        <f t="shared" si="68"/>
        <v>176.4</v>
      </c>
      <c r="CI20" s="24">
        <f t="shared" si="69"/>
        <v>178.6</v>
      </c>
      <c r="CJ20" s="24">
        <f t="shared" si="70"/>
        <v>180.8</v>
      </c>
      <c r="CK20" s="23">
        <v>183</v>
      </c>
      <c r="CL20" s="24">
        <f t="shared" si="71"/>
        <v>185.14285714285714</v>
      </c>
      <c r="CM20" s="24">
        <f t="shared" si="72"/>
        <v>187.28571428571428</v>
      </c>
      <c r="CN20" s="24">
        <f t="shared" si="73"/>
        <v>189.42857142857142</v>
      </c>
      <c r="CO20" s="24">
        <f t="shared" si="74"/>
        <v>191.57142857142858</v>
      </c>
      <c r="CP20" s="24">
        <f t="shared" si="75"/>
        <v>193.71428571428572</v>
      </c>
      <c r="CQ20" s="24">
        <f t="shared" si="76"/>
        <v>195.85714285714286</v>
      </c>
      <c r="CR20" s="24">
        <f t="shared" si="77"/>
        <v>198</v>
      </c>
      <c r="CS20" s="24">
        <f t="shared" si="78"/>
        <v>200.14285714285714</v>
      </c>
      <c r="CT20" s="24">
        <f t="shared" si="79"/>
        <v>202.28571428571428</v>
      </c>
      <c r="CU20" s="24">
        <f t="shared" si="80"/>
        <v>204.42857142857142</v>
      </c>
      <c r="CV20" s="24">
        <f t="shared" si="81"/>
        <v>206.57142857142856</v>
      </c>
      <c r="CW20" s="24">
        <f t="shared" si="82"/>
        <v>208.71428571428572</v>
      </c>
      <c r="CX20" s="24">
        <f t="shared" si="83"/>
        <v>210.85714285714286</v>
      </c>
      <c r="CY20" s="29">
        <v>213</v>
      </c>
    </row>
    <row r="21" spans="3:103" ht="16.5" thickTop="1" thickBot="1" x14ac:dyDescent="0.3">
      <c r="C21" s="20">
        <f>Inputs!F48</f>
        <v>1720</v>
      </c>
      <c r="D21" s="23">
        <v>0</v>
      </c>
      <c r="E21" s="24">
        <f t="shared" si="0"/>
        <v>2.6</v>
      </c>
      <c r="F21" s="24">
        <f t="shared" si="1"/>
        <v>5.2</v>
      </c>
      <c r="G21" s="24">
        <f t="shared" si="2"/>
        <v>7.8000000000000007</v>
      </c>
      <c r="H21" s="24">
        <f t="shared" si="3"/>
        <v>10.4</v>
      </c>
      <c r="I21" s="23">
        <v>13</v>
      </c>
      <c r="J21" s="24">
        <f t="shared" si="4"/>
        <v>15</v>
      </c>
      <c r="K21" s="24">
        <f t="shared" si="5"/>
        <v>17</v>
      </c>
      <c r="L21" s="24">
        <f t="shared" si="6"/>
        <v>19</v>
      </c>
      <c r="M21" s="24">
        <f t="shared" si="7"/>
        <v>21</v>
      </c>
      <c r="N21" s="23">
        <v>23</v>
      </c>
      <c r="O21" s="24">
        <f t="shared" si="8"/>
        <v>26</v>
      </c>
      <c r="P21" s="24">
        <f t="shared" si="9"/>
        <v>29</v>
      </c>
      <c r="Q21" s="24">
        <f t="shared" si="10"/>
        <v>32</v>
      </c>
      <c r="R21" s="24">
        <f t="shared" si="11"/>
        <v>35</v>
      </c>
      <c r="S21" s="23">
        <v>38</v>
      </c>
      <c r="T21" s="24">
        <f t="shared" si="12"/>
        <v>38.799999999999997</v>
      </c>
      <c r="U21" s="24">
        <f t="shared" si="13"/>
        <v>39.6</v>
      </c>
      <c r="V21" s="24">
        <f t="shared" si="14"/>
        <v>40.4</v>
      </c>
      <c r="W21" s="24">
        <f t="shared" si="15"/>
        <v>41.2</v>
      </c>
      <c r="X21" s="23">
        <v>42</v>
      </c>
      <c r="Y21" s="24">
        <f t="shared" si="16"/>
        <v>43.8</v>
      </c>
      <c r="Z21" s="24">
        <f t="shared" si="17"/>
        <v>45.6</v>
      </c>
      <c r="AA21" s="24">
        <f t="shared" si="18"/>
        <v>47.4</v>
      </c>
      <c r="AB21" s="24">
        <f t="shared" si="19"/>
        <v>49.2</v>
      </c>
      <c r="AC21" s="23">
        <v>51</v>
      </c>
      <c r="AD21" s="24">
        <f t="shared" si="20"/>
        <v>53.4</v>
      </c>
      <c r="AE21" s="24">
        <f t="shared" si="21"/>
        <v>55.8</v>
      </c>
      <c r="AF21" s="24">
        <f t="shared" si="22"/>
        <v>58.2</v>
      </c>
      <c r="AG21" s="24">
        <f t="shared" si="23"/>
        <v>60.6</v>
      </c>
      <c r="AH21" s="23">
        <v>63</v>
      </c>
      <c r="AI21" s="24">
        <f t="shared" si="24"/>
        <v>65.2</v>
      </c>
      <c r="AJ21" s="24">
        <f t="shared" si="25"/>
        <v>67.400000000000006</v>
      </c>
      <c r="AK21" s="24">
        <f t="shared" si="26"/>
        <v>69.599999999999994</v>
      </c>
      <c r="AL21" s="24">
        <f t="shared" si="27"/>
        <v>71.8</v>
      </c>
      <c r="AM21" s="23">
        <v>74</v>
      </c>
      <c r="AN21" s="24">
        <f t="shared" si="28"/>
        <v>76.2</v>
      </c>
      <c r="AO21" s="24">
        <f t="shared" si="29"/>
        <v>78.400000000000006</v>
      </c>
      <c r="AP21" s="24">
        <f t="shared" si="30"/>
        <v>80.599999999999994</v>
      </c>
      <c r="AQ21" s="24">
        <f t="shared" si="31"/>
        <v>82.8</v>
      </c>
      <c r="AR21" s="23">
        <v>85</v>
      </c>
      <c r="AS21" s="24">
        <f t="shared" si="32"/>
        <v>87.2</v>
      </c>
      <c r="AT21" s="24">
        <f t="shared" si="33"/>
        <v>89.4</v>
      </c>
      <c r="AU21" s="24">
        <f t="shared" si="34"/>
        <v>91.6</v>
      </c>
      <c r="AV21" s="24">
        <f t="shared" si="35"/>
        <v>93.8</v>
      </c>
      <c r="AW21" s="24">
        <f t="shared" si="36"/>
        <v>96</v>
      </c>
      <c r="AX21" s="24">
        <f t="shared" si="37"/>
        <v>98.2</v>
      </c>
      <c r="AY21" s="24">
        <f t="shared" si="38"/>
        <v>100.4</v>
      </c>
      <c r="AZ21" s="24">
        <f t="shared" si="39"/>
        <v>102.6</v>
      </c>
      <c r="BA21" s="24">
        <f t="shared" si="40"/>
        <v>104.8</v>
      </c>
      <c r="BB21" s="23">
        <v>107</v>
      </c>
      <c r="BC21" s="24">
        <f t="shared" si="41"/>
        <v>109.2</v>
      </c>
      <c r="BD21" s="24">
        <f t="shared" si="42"/>
        <v>111.4</v>
      </c>
      <c r="BE21" s="24">
        <f t="shared" si="43"/>
        <v>113.6</v>
      </c>
      <c r="BF21" s="24">
        <f t="shared" si="44"/>
        <v>115.8</v>
      </c>
      <c r="BG21" s="24">
        <f t="shared" si="45"/>
        <v>118</v>
      </c>
      <c r="BH21" s="24">
        <f t="shared" si="46"/>
        <v>120.2</v>
      </c>
      <c r="BI21" s="24">
        <f t="shared" si="47"/>
        <v>122.4</v>
      </c>
      <c r="BJ21" s="24">
        <f t="shared" si="48"/>
        <v>124.6</v>
      </c>
      <c r="BK21" s="24">
        <f t="shared" si="49"/>
        <v>126.8</v>
      </c>
      <c r="BL21" s="23">
        <v>129</v>
      </c>
      <c r="BM21" s="24">
        <f t="shared" si="50"/>
        <v>131.1</v>
      </c>
      <c r="BN21" s="24">
        <f t="shared" si="51"/>
        <v>133.19999999999999</v>
      </c>
      <c r="BO21" s="24">
        <f t="shared" si="52"/>
        <v>135.30000000000001</v>
      </c>
      <c r="BP21" s="24">
        <f t="shared" si="53"/>
        <v>137.4</v>
      </c>
      <c r="BQ21" s="24">
        <f t="shared" si="54"/>
        <v>139.5</v>
      </c>
      <c r="BR21" s="24">
        <f t="shared" si="55"/>
        <v>141.6</v>
      </c>
      <c r="BS21" s="24">
        <f t="shared" si="56"/>
        <v>143.69999999999999</v>
      </c>
      <c r="BT21" s="24">
        <f t="shared" si="57"/>
        <v>145.80000000000001</v>
      </c>
      <c r="BU21" s="24">
        <f t="shared" si="58"/>
        <v>147.9</v>
      </c>
      <c r="BV21" s="23">
        <v>150</v>
      </c>
      <c r="BW21" s="24">
        <f t="shared" si="59"/>
        <v>152.19999999999999</v>
      </c>
      <c r="BX21" s="24">
        <f t="shared" si="60"/>
        <v>154.4</v>
      </c>
      <c r="BY21" s="24">
        <f t="shared" si="61"/>
        <v>156.6</v>
      </c>
      <c r="BZ21" s="24">
        <f t="shared" si="62"/>
        <v>158.80000000000001</v>
      </c>
      <c r="CA21" s="23">
        <v>161</v>
      </c>
      <c r="CB21" s="24">
        <f t="shared" si="63"/>
        <v>163.4</v>
      </c>
      <c r="CC21" s="24">
        <f t="shared" si="64"/>
        <v>165.8</v>
      </c>
      <c r="CD21" s="24">
        <f t="shared" si="65"/>
        <v>168.2</v>
      </c>
      <c r="CE21" s="24">
        <f t="shared" si="66"/>
        <v>170.6</v>
      </c>
      <c r="CF21" s="23">
        <v>173</v>
      </c>
      <c r="CG21" s="24">
        <f t="shared" si="67"/>
        <v>175.2</v>
      </c>
      <c r="CH21" s="24">
        <f t="shared" si="68"/>
        <v>177.4</v>
      </c>
      <c r="CI21" s="24">
        <f t="shared" si="69"/>
        <v>179.6</v>
      </c>
      <c r="CJ21" s="24">
        <f t="shared" si="70"/>
        <v>181.8</v>
      </c>
      <c r="CK21" s="23">
        <v>184</v>
      </c>
      <c r="CL21" s="24">
        <f t="shared" si="71"/>
        <v>186.14285714285714</v>
      </c>
      <c r="CM21" s="24">
        <f t="shared" si="72"/>
        <v>188.28571428571428</v>
      </c>
      <c r="CN21" s="24">
        <f t="shared" si="73"/>
        <v>190.42857142857142</v>
      </c>
      <c r="CO21" s="24">
        <f t="shared" si="74"/>
        <v>192.57142857142858</v>
      </c>
      <c r="CP21" s="24">
        <f t="shared" si="75"/>
        <v>194.71428571428572</v>
      </c>
      <c r="CQ21" s="24">
        <f t="shared" si="76"/>
        <v>196.85714285714286</v>
      </c>
      <c r="CR21" s="24">
        <f t="shared" si="77"/>
        <v>199</v>
      </c>
      <c r="CS21" s="24">
        <f t="shared" si="78"/>
        <v>201.14285714285714</v>
      </c>
      <c r="CT21" s="24">
        <f t="shared" si="79"/>
        <v>203.28571428571428</v>
      </c>
      <c r="CU21" s="24">
        <f t="shared" si="80"/>
        <v>205.42857142857142</v>
      </c>
      <c r="CV21" s="24">
        <f t="shared" si="81"/>
        <v>207.57142857142856</v>
      </c>
      <c r="CW21" s="24">
        <f t="shared" si="82"/>
        <v>209.71428571428572</v>
      </c>
      <c r="CX21" s="24">
        <f t="shared" si="83"/>
        <v>211.85714285714286</v>
      </c>
      <c r="CY21" s="29">
        <v>214</v>
      </c>
    </row>
    <row r="22" spans="3:103" ht="16.5" thickTop="1" thickBot="1" x14ac:dyDescent="0.3">
      <c r="C22" s="20">
        <f>Inputs!F49</f>
        <v>2000</v>
      </c>
      <c r="D22" s="23">
        <v>0</v>
      </c>
      <c r="E22" s="24">
        <f t="shared" si="0"/>
        <v>2.6</v>
      </c>
      <c r="F22" s="24">
        <f t="shared" si="1"/>
        <v>5.2</v>
      </c>
      <c r="G22" s="24">
        <f t="shared" si="2"/>
        <v>7.8000000000000007</v>
      </c>
      <c r="H22" s="24">
        <f t="shared" si="3"/>
        <v>10.4</v>
      </c>
      <c r="I22" s="23">
        <v>13</v>
      </c>
      <c r="J22" s="24">
        <f t="shared" si="4"/>
        <v>15</v>
      </c>
      <c r="K22" s="24">
        <f t="shared" si="5"/>
        <v>17</v>
      </c>
      <c r="L22" s="24">
        <f t="shared" si="6"/>
        <v>19</v>
      </c>
      <c r="M22" s="24">
        <f t="shared" si="7"/>
        <v>21</v>
      </c>
      <c r="N22" s="23">
        <v>23</v>
      </c>
      <c r="O22" s="24">
        <f t="shared" si="8"/>
        <v>26</v>
      </c>
      <c r="P22" s="24">
        <f t="shared" si="9"/>
        <v>29</v>
      </c>
      <c r="Q22" s="24">
        <f t="shared" si="10"/>
        <v>32</v>
      </c>
      <c r="R22" s="24">
        <f t="shared" si="11"/>
        <v>35</v>
      </c>
      <c r="S22" s="23">
        <v>38</v>
      </c>
      <c r="T22" s="24">
        <f t="shared" si="12"/>
        <v>39</v>
      </c>
      <c r="U22" s="24">
        <f t="shared" si="13"/>
        <v>40</v>
      </c>
      <c r="V22" s="24">
        <f t="shared" si="14"/>
        <v>41</v>
      </c>
      <c r="W22" s="24">
        <f t="shared" si="15"/>
        <v>42</v>
      </c>
      <c r="X22" s="23">
        <v>43</v>
      </c>
      <c r="Y22" s="24">
        <f t="shared" si="16"/>
        <v>44.6</v>
      </c>
      <c r="Z22" s="24">
        <f t="shared" si="17"/>
        <v>46.2</v>
      </c>
      <c r="AA22" s="24">
        <f t="shared" si="18"/>
        <v>47.8</v>
      </c>
      <c r="AB22" s="24">
        <f t="shared" si="19"/>
        <v>49.4</v>
      </c>
      <c r="AC22" s="23">
        <v>51</v>
      </c>
      <c r="AD22" s="24">
        <f t="shared" si="20"/>
        <v>53.4</v>
      </c>
      <c r="AE22" s="24">
        <f t="shared" si="21"/>
        <v>55.8</v>
      </c>
      <c r="AF22" s="24">
        <f t="shared" si="22"/>
        <v>58.2</v>
      </c>
      <c r="AG22" s="24">
        <f t="shared" si="23"/>
        <v>60.6</v>
      </c>
      <c r="AH22" s="23">
        <v>63</v>
      </c>
      <c r="AI22" s="24">
        <f t="shared" si="24"/>
        <v>65.2</v>
      </c>
      <c r="AJ22" s="24">
        <f t="shared" si="25"/>
        <v>67.400000000000006</v>
      </c>
      <c r="AK22" s="24">
        <f t="shared" si="26"/>
        <v>69.599999999999994</v>
      </c>
      <c r="AL22" s="24">
        <f t="shared" si="27"/>
        <v>71.8</v>
      </c>
      <c r="AM22" s="23">
        <v>74</v>
      </c>
      <c r="AN22" s="24">
        <f t="shared" si="28"/>
        <v>76.2</v>
      </c>
      <c r="AO22" s="24">
        <f t="shared" si="29"/>
        <v>78.400000000000006</v>
      </c>
      <c r="AP22" s="24">
        <f t="shared" si="30"/>
        <v>80.599999999999994</v>
      </c>
      <c r="AQ22" s="24">
        <f t="shared" si="31"/>
        <v>82.8</v>
      </c>
      <c r="AR22" s="23">
        <v>85</v>
      </c>
      <c r="AS22" s="24">
        <f t="shared" si="32"/>
        <v>87.2</v>
      </c>
      <c r="AT22" s="24">
        <f t="shared" si="33"/>
        <v>89.4</v>
      </c>
      <c r="AU22" s="24">
        <f t="shared" si="34"/>
        <v>91.6</v>
      </c>
      <c r="AV22" s="24">
        <f t="shared" si="35"/>
        <v>93.8</v>
      </c>
      <c r="AW22" s="24">
        <f t="shared" si="36"/>
        <v>96</v>
      </c>
      <c r="AX22" s="24">
        <f t="shared" si="37"/>
        <v>98.2</v>
      </c>
      <c r="AY22" s="24">
        <f t="shared" si="38"/>
        <v>100.4</v>
      </c>
      <c r="AZ22" s="24">
        <f t="shared" si="39"/>
        <v>102.6</v>
      </c>
      <c r="BA22" s="24">
        <f t="shared" si="40"/>
        <v>104.8</v>
      </c>
      <c r="BB22" s="23">
        <v>107</v>
      </c>
      <c r="BC22" s="24">
        <f t="shared" si="41"/>
        <v>109.2</v>
      </c>
      <c r="BD22" s="24">
        <f t="shared" si="42"/>
        <v>111.4</v>
      </c>
      <c r="BE22" s="24">
        <f t="shared" si="43"/>
        <v>113.6</v>
      </c>
      <c r="BF22" s="24">
        <f t="shared" si="44"/>
        <v>115.8</v>
      </c>
      <c r="BG22" s="24">
        <f t="shared" si="45"/>
        <v>118</v>
      </c>
      <c r="BH22" s="24">
        <f t="shared" si="46"/>
        <v>120.2</v>
      </c>
      <c r="BI22" s="24">
        <f t="shared" si="47"/>
        <v>122.4</v>
      </c>
      <c r="BJ22" s="24">
        <f t="shared" si="48"/>
        <v>124.6</v>
      </c>
      <c r="BK22" s="24">
        <f t="shared" si="49"/>
        <v>126.8</v>
      </c>
      <c r="BL22" s="23">
        <v>129</v>
      </c>
      <c r="BM22" s="24">
        <f t="shared" si="50"/>
        <v>131.19999999999999</v>
      </c>
      <c r="BN22" s="24">
        <f t="shared" si="51"/>
        <v>133.4</v>
      </c>
      <c r="BO22" s="24">
        <f t="shared" si="52"/>
        <v>135.6</v>
      </c>
      <c r="BP22" s="24">
        <f t="shared" si="53"/>
        <v>137.80000000000001</v>
      </c>
      <c r="BQ22" s="24">
        <f t="shared" si="54"/>
        <v>140</v>
      </c>
      <c r="BR22" s="24">
        <f t="shared" si="55"/>
        <v>142.19999999999999</v>
      </c>
      <c r="BS22" s="24">
        <f t="shared" si="56"/>
        <v>144.4</v>
      </c>
      <c r="BT22" s="24">
        <f t="shared" si="57"/>
        <v>146.6</v>
      </c>
      <c r="BU22" s="24">
        <f t="shared" si="58"/>
        <v>148.80000000000001</v>
      </c>
      <c r="BV22" s="23">
        <v>151</v>
      </c>
      <c r="BW22" s="24">
        <f t="shared" si="59"/>
        <v>153.19999999999999</v>
      </c>
      <c r="BX22" s="24">
        <f t="shared" si="60"/>
        <v>155.4</v>
      </c>
      <c r="BY22" s="24">
        <f t="shared" si="61"/>
        <v>157.6</v>
      </c>
      <c r="BZ22" s="24">
        <f t="shared" si="62"/>
        <v>159.80000000000001</v>
      </c>
      <c r="CA22" s="23">
        <v>162</v>
      </c>
      <c r="CB22" s="24">
        <f t="shared" si="63"/>
        <v>164.2</v>
      </c>
      <c r="CC22" s="24">
        <f t="shared" si="64"/>
        <v>166.4</v>
      </c>
      <c r="CD22" s="24">
        <f t="shared" si="65"/>
        <v>168.6</v>
      </c>
      <c r="CE22" s="24">
        <f t="shared" si="66"/>
        <v>170.8</v>
      </c>
      <c r="CF22" s="23">
        <v>173</v>
      </c>
      <c r="CG22" s="24">
        <f t="shared" si="67"/>
        <v>175.2</v>
      </c>
      <c r="CH22" s="24">
        <f t="shared" si="68"/>
        <v>177.4</v>
      </c>
      <c r="CI22" s="24">
        <f t="shared" si="69"/>
        <v>179.6</v>
      </c>
      <c r="CJ22" s="24">
        <f t="shared" si="70"/>
        <v>181.8</v>
      </c>
      <c r="CK22" s="23">
        <v>184</v>
      </c>
      <c r="CL22" s="24">
        <f t="shared" si="71"/>
        <v>186.14285714285714</v>
      </c>
      <c r="CM22" s="24">
        <f t="shared" si="72"/>
        <v>188.28571428571428</v>
      </c>
      <c r="CN22" s="24">
        <f t="shared" si="73"/>
        <v>190.42857142857142</v>
      </c>
      <c r="CO22" s="24">
        <f t="shared" si="74"/>
        <v>192.57142857142858</v>
      </c>
      <c r="CP22" s="24">
        <f t="shared" si="75"/>
        <v>194.71428571428572</v>
      </c>
      <c r="CQ22" s="24">
        <f t="shared" si="76"/>
        <v>196.85714285714286</v>
      </c>
      <c r="CR22" s="24">
        <f t="shared" si="77"/>
        <v>199</v>
      </c>
      <c r="CS22" s="24">
        <f t="shared" si="78"/>
        <v>201.14285714285714</v>
      </c>
      <c r="CT22" s="24">
        <f t="shared" si="79"/>
        <v>203.28571428571428</v>
      </c>
      <c r="CU22" s="24">
        <f t="shared" si="80"/>
        <v>205.42857142857142</v>
      </c>
      <c r="CV22" s="24">
        <f t="shared" si="81"/>
        <v>207.57142857142856</v>
      </c>
      <c r="CW22" s="24">
        <f t="shared" si="82"/>
        <v>209.71428571428572</v>
      </c>
      <c r="CX22" s="24">
        <f t="shared" si="83"/>
        <v>211.85714285714286</v>
      </c>
      <c r="CY22" s="29">
        <v>214</v>
      </c>
    </row>
    <row r="23" spans="3:103" ht="16.5" thickTop="1" thickBot="1" x14ac:dyDescent="0.3">
      <c r="C23" s="20">
        <f>Inputs!F50</f>
        <v>2520</v>
      </c>
      <c r="D23" s="23">
        <v>0</v>
      </c>
      <c r="E23" s="24">
        <f t="shared" si="0"/>
        <v>2.8</v>
      </c>
      <c r="F23" s="24">
        <f t="shared" si="1"/>
        <v>5.6</v>
      </c>
      <c r="G23" s="24">
        <f t="shared" si="2"/>
        <v>8.3999999999999986</v>
      </c>
      <c r="H23" s="24">
        <f t="shared" si="3"/>
        <v>11.2</v>
      </c>
      <c r="I23" s="23">
        <v>14</v>
      </c>
      <c r="J23" s="24">
        <f t="shared" si="4"/>
        <v>16</v>
      </c>
      <c r="K23" s="24">
        <f t="shared" si="5"/>
        <v>18</v>
      </c>
      <c r="L23" s="24">
        <f t="shared" si="6"/>
        <v>20</v>
      </c>
      <c r="M23" s="24">
        <f t="shared" si="7"/>
        <v>22</v>
      </c>
      <c r="N23" s="23">
        <v>24</v>
      </c>
      <c r="O23" s="24">
        <f t="shared" si="8"/>
        <v>27</v>
      </c>
      <c r="P23" s="24">
        <f t="shared" si="9"/>
        <v>30</v>
      </c>
      <c r="Q23" s="24">
        <f t="shared" si="10"/>
        <v>33</v>
      </c>
      <c r="R23" s="24">
        <f t="shared" si="11"/>
        <v>36</v>
      </c>
      <c r="S23" s="23">
        <v>39</v>
      </c>
      <c r="T23" s="24">
        <f t="shared" si="12"/>
        <v>40</v>
      </c>
      <c r="U23" s="24">
        <f t="shared" si="13"/>
        <v>41</v>
      </c>
      <c r="V23" s="24">
        <f t="shared" si="14"/>
        <v>42</v>
      </c>
      <c r="W23" s="24">
        <f t="shared" si="15"/>
        <v>43</v>
      </c>
      <c r="X23" s="23">
        <v>44</v>
      </c>
      <c r="Y23" s="24">
        <f t="shared" si="16"/>
        <v>45.6</v>
      </c>
      <c r="Z23" s="24">
        <f t="shared" si="17"/>
        <v>47.2</v>
      </c>
      <c r="AA23" s="24">
        <f t="shared" si="18"/>
        <v>48.8</v>
      </c>
      <c r="AB23" s="24">
        <f t="shared" si="19"/>
        <v>50.4</v>
      </c>
      <c r="AC23" s="23">
        <v>52</v>
      </c>
      <c r="AD23" s="24">
        <f t="shared" si="20"/>
        <v>54.4</v>
      </c>
      <c r="AE23" s="24">
        <f t="shared" si="21"/>
        <v>56.8</v>
      </c>
      <c r="AF23" s="24">
        <f t="shared" si="22"/>
        <v>59.2</v>
      </c>
      <c r="AG23" s="24">
        <f t="shared" si="23"/>
        <v>61.6</v>
      </c>
      <c r="AH23" s="23">
        <v>64</v>
      </c>
      <c r="AI23" s="24">
        <f t="shared" si="24"/>
        <v>66.2</v>
      </c>
      <c r="AJ23" s="24">
        <f t="shared" si="25"/>
        <v>68.400000000000006</v>
      </c>
      <c r="AK23" s="24">
        <f t="shared" si="26"/>
        <v>70.599999999999994</v>
      </c>
      <c r="AL23" s="24">
        <f t="shared" si="27"/>
        <v>72.8</v>
      </c>
      <c r="AM23" s="23">
        <v>75</v>
      </c>
      <c r="AN23" s="24">
        <f t="shared" si="28"/>
        <v>77.2</v>
      </c>
      <c r="AO23" s="24">
        <f t="shared" si="29"/>
        <v>79.400000000000006</v>
      </c>
      <c r="AP23" s="24">
        <f t="shared" si="30"/>
        <v>81.599999999999994</v>
      </c>
      <c r="AQ23" s="24">
        <f t="shared" si="31"/>
        <v>83.8</v>
      </c>
      <c r="AR23" s="23">
        <v>86</v>
      </c>
      <c r="AS23" s="24">
        <f t="shared" si="32"/>
        <v>88.2</v>
      </c>
      <c r="AT23" s="24">
        <f t="shared" si="33"/>
        <v>90.4</v>
      </c>
      <c r="AU23" s="24">
        <f t="shared" si="34"/>
        <v>92.6</v>
      </c>
      <c r="AV23" s="24">
        <f t="shared" si="35"/>
        <v>94.8</v>
      </c>
      <c r="AW23" s="24">
        <f t="shared" si="36"/>
        <v>97</v>
      </c>
      <c r="AX23" s="24">
        <f t="shared" si="37"/>
        <v>99.2</v>
      </c>
      <c r="AY23" s="24">
        <f t="shared" si="38"/>
        <v>101.4</v>
      </c>
      <c r="AZ23" s="24">
        <f t="shared" si="39"/>
        <v>103.6</v>
      </c>
      <c r="BA23" s="24">
        <f t="shared" si="40"/>
        <v>105.8</v>
      </c>
      <c r="BB23" s="23">
        <v>108</v>
      </c>
      <c r="BC23" s="24">
        <f t="shared" si="41"/>
        <v>110.2</v>
      </c>
      <c r="BD23" s="24">
        <f t="shared" si="42"/>
        <v>112.4</v>
      </c>
      <c r="BE23" s="24">
        <f t="shared" si="43"/>
        <v>114.6</v>
      </c>
      <c r="BF23" s="24">
        <f t="shared" si="44"/>
        <v>116.8</v>
      </c>
      <c r="BG23" s="24">
        <f t="shared" si="45"/>
        <v>119</v>
      </c>
      <c r="BH23" s="24">
        <f t="shared" si="46"/>
        <v>121.2</v>
      </c>
      <c r="BI23" s="24">
        <f t="shared" si="47"/>
        <v>123.4</v>
      </c>
      <c r="BJ23" s="24">
        <f t="shared" si="48"/>
        <v>125.6</v>
      </c>
      <c r="BK23" s="24">
        <f t="shared" si="49"/>
        <v>127.8</v>
      </c>
      <c r="BL23" s="23">
        <v>130</v>
      </c>
      <c r="BM23" s="24">
        <f t="shared" si="50"/>
        <v>132.1</v>
      </c>
      <c r="BN23" s="24">
        <f t="shared" si="51"/>
        <v>134.19999999999999</v>
      </c>
      <c r="BO23" s="24">
        <f t="shared" si="52"/>
        <v>136.30000000000001</v>
      </c>
      <c r="BP23" s="24">
        <f t="shared" si="53"/>
        <v>138.4</v>
      </c>
      <c r="BQ23" s="24">
        <f t="shared" si="54"/>
        <v>140.5</v>
      </c>
      <c r="BR23" s="24">
        <f t="shared" si="55"/>
        <v>142.6</v>
      </c>
      <c r="BS23" s="24">
        <f t="shared" si="56"/>
        <v>144.69999999999999</v>
      </c>
      <c r="BT23" s="24">
        <f t="shared" si="57"/>
        <v>146.80000000000001</v>
      </c>
      <c r="BU23" s="24">
        <f t="shared" si="58"/>
        <v>148.9</v>
      </c>
      <c r="BV23" s="23">
        <v>151</v>
      </c>
      <c r="BW23" s="24">
        <f t="shared" si="59"/>
        <v>153.4</v>
      </c>
      <c r="BX23" s="24">
        <f t="shared" si="60"/>
        <v>155.80000000000001</v>
      </c>
      <c r="BY23" s="24">
        <f t="shared" si="61"/>
        <v>158.19999999999999</v>
      </c>
      <c r="BZ23" s="24">
        <f t="shared" si="62"/>
        <v>160.6</v>
      </c>
      <c r="CA23" s="23">
        <v>163</v>
      </c>
      <c r="CB23" s="24">
        <f t="shared" si="63"/>
        <v>165.2</v>
      </c>
      <c r="CC23" s="24">
        <f t="shared" si="64"/>
        <v>167.4</v>
      </c>
      <c r="CD23" s="24">
        <f t="shared" si="65"/>
        <v>169.6</v>
      </c>
      <c r="CE23" s="24">
        <f t="shared" si="66"/>
        <v>171.8</v>
      </c>
      <c r="CF23" s="23">
        <v>174</v>
      </c>
      <c r="CG23" s="24">
        <f t="shared" si="67"/>
        <v>176.2</v>
      </c>
      <c r="CH23" s="24">
        <f t="shared" si="68"/>
        <v>178.4</v>
      </c>
      <c r="CI23" s="24">
        <f t="shared" si="69"/>
        <v>180.6</v>
      </c>
      <c r="CJ23" s="24">
        <f t="shared" si="70"/>
        <v>182.8</v>
      </c>
      <c r="CK23" s="23">
        <v>185</v>
      </c>
      <c r="CL23" s="24">
        <f t="shared" si="71"/>
        <v>187.14285714285714</v>
      </c>
      <c r="CM23" s="24">
        <f t="shared" si="72"/>
        <v>189.28571428571428</v>
      </c>
      <c r="CN23" s="24">
        <f t="shared" si="73"/>
        <v>191.42857142857142</v>
      </c>
      <c r="CO23" s="24">
        <f t="shared" si="74"/>
        <v>193.57142857142858</v>
      </c>
      <c r="CP23" s="24">
        <f t="shared" si="75"/>
        <v>195.71428571428572</v>
      </c>
      <c r="CQ23" s="24">
        <f t="shared" si="76"/>
        <v>197.85714285714286</v>
      </c>
      <c r="CR23" s="24">
        <f t="shared" si="77"/>
        <v>200</v>
      </c>
      <c r="CS23" s="24">
        <f t="shared" si="78"/>
        <v>202.14285714285714</v>
      </c>
      <c r="CT23" s="24">
        <f t="shared" si="79"/>
        <v>204.28571428571428</v>
      </c>
      <c r="CU23" s="24">
        <f t="shared" si="80"/>
        <v>206.42857142857142</v>
      </c>
      <c r="CV23" s="24">
        <f t="shared" si="81"/>
        <v>208.57142857142856</v>
      </c>
      <c r="CW23" s="24">
        <f t="shared" si="82"/>
        <v>210.71428571428572</v>
      </c>
      <c r="CX23" s="24">
        <f t="shared" si="83"/>
        <v>212.85714285714286</v>
      </c>
      <c r="CY23" s="29">
        <v>215</v>
      </c>
    </row>
    <row r="24" spans="3:103" ht="16.5" thickTop="1" thickBot="1" x14ac:dyDescent="0.3">
      <c r="C24" s="20">
        <f>Inputs!F51</f>
        <v>3000</v>
      </c>
      <c r="D24" s="23">
        <v>0</v>
      </c>
      <c r="E24" s="24">
        <f t="shared" si="0"/>
        <v>3</v>
      </c>
      <c r="F24" s="24">
        <f t="shared" si="1"/>
        <v>6</v>
      </c>
      <c r="G24" s="24">
        <f t="shared" si="2"/>
        <v>9</v>
      </c>
      <c r="H24" s="24">
        <f t="shared" si="3"/>
        <v>12</v>
      </c>
      <c r="I24" s="23">
        <v>15</v>
      </c>
      <c r="J24" s="24">
        <f t="shared" si="4"/>
        <v>17</v>
      </c>
      <c r="K24" s="24">
        <f t="shared" si="5"/>
        <v>19</v>
      </c>
      <c r="L24" s="24">
        <f t="shared" si="6"/>
        <v>21</v>
      </c>
      <c r="M24" s="24">
        <f t="shared" si="7"/>
        <v>23</v>
      </c>
      <c r="N24" s="23">
        <v>25</v>
      </c>
      <c r="O24" s="24">
        <f t="shared" si="8"/>
        <v>28</v>
      </c>
      <c r="P24" s="24">
        <f t="shared" si="9"/>
        <v>31</v>
      </c>
      <c r="Q24" s="24">
        <f t="shared" si="10"/>
        <v>34</v>
      </c>
      <c r="R24" s="24">
        <f t="shared" si="11"/>
        <v>37</v>
      </c>
      <c r="S24" s="23">
        <v>40</v>
      </c>
      <c r="T24" s="24">
        <f t="shared" si="12"/>
        <v>41</v>
      </c>
      <c r="U24" s="24">
        <f t="shared" si="13"/>
        <v>42</v>
      </c>
      <c r="V24" s="24">
        <f t="shared" si="14"/>
        <v>43</v>
      </c>
      <c r="W24" s="24">
        <f t="shared" si="15"/>
        <v>44</v>
      </c>
      <c r="X24" s="23">
        <v>45</v>
      </c>
      <c r="Y24" s="24">
        <f t="shared" si="16"/>
        <v>46.6</v>
      </c>
      <c r="Z24" s="24">
        <f t="shared" si="17"/>
        <v>48.2</v>
      </c>
      <c r="AA24" s="24">
        <f t="shared" si="18"/>
        <v>49.8</v>
      </c>
      <c r="AB24" s="24">
        <f t="shared" si="19"/>
        <v>51.4</v>
      </c>
      <c r="AC24" s="23">
        <v>53</v>
      </c>
      <c r="AD24" s="24">
        <f t="shared" si="20"/>
        <v>55.4</v>
      </c>
      <c r="AE24" s="24">
        <f t="shared" si="21"/>
        <v>57.8</v>
      </c>
      <c r="AF24" s="24">
        <f t="shared" si="22"/>
        <v>60.2</v>
      </c>
      <c r="AG24" s="24">
        <f t="shared" si="23"/>
        <v>62.6</v>
      </c>
      <c r="AH24" s="23">
        <v>65</v>
      </c>
      <c r="AI24" s="24">
        <f t="shared" si="24"/>
        <v>67.2</v>
      </c>
      <c r="AJ24" s="24">
        <f t="shared" si="25"/>
        <v>69.400000000000006</v>
      </c>
      <c r="AK24" s="24">
        <f t="shared" si="26"/>
        <v>71.599999999999994</v>
      </c>
      <c r="AL24" s="24">
        <f t="shared" si="27"/>
        <v>73.8</v>
      </c>
      <c r="AM24" s="23">
        <v>76</v>
      </c>
      <c r="AN24" s="24">
        <f t="shared" si="28"/>
        <v>78.2</v>
      </c>
      <c r="AO24" s="24">
        <f t="shared" si="29"/>
        <v>80.400000000000006</v>
      </c>
      <c r="AP24" s="24">
        <f t="shared" si="30"/>
        <v>82.6</v>
      </c>
      <c r="AQ24" s="24">
        <f t="shared" si="31"/>
        <v>84.8</v>
      </c>
      <c r="AR24" s="23">
        <v>87</v>
      </c>
      <c r="AS24" s="24">
        <f t="shared" si="32"/>
        <v>89.2</v>
      </c>
      <c r="AT24" s="24">
        <f t="shared" si="33"/>
        <v>91.4</v>
      </c>
      <c r="AU24" s="24">
        <f t="shared" si="34"/>
        <v>93.6</v>
      </c>
      <c r="AV24" s="24">
        <f t="shared" si="35"/>
        <v>95.8</v>
      </c>
      <c r="AW24" s="24">
        <f t="shared" si="36"/>
        <v>98</v>
      </c>
      <c r="AX24" s="24">
        <f t="shared" si="37"/>
        <v>100.2</v>
      </c>
      <c r="AY24" s="24">
        <f t="shared" si="38"/>
        <v>102.4</v>
      </c>
      <c r="AZ24" s="24">
        <f t="shared" si="39"/>
        <v>104.6</v>
      </c>
      <c r="BA24" s="24">
        <f t="shared" si="40"/>
        <v>106.8</v>
      </c>
      <c r="BB24" s="23">
        <v>109</v>
      </c>
      <c r="BC24" s="24">
        <f t="shared" si="41"/>
        <v>111.1</v>
      </c>
      <c r="BD24" s="24">
        <f t="shared" si="42"/>
        <v>113.2</v>
      </c>
      <c r="BE24" s="24">
        <f t="shared" si="43"/>
        <v>115.3</v>
      </c>
      <c r="BF24" s="24">
        <f t="shared" si="44"/>
        <v>117.4</v>
      </c>
      <c r="BG24" s="24">
        <f t="shared" si="45"/>
        <v>119.5</v>
      </c>
      <c r="BH24" s="24">
        <f t="shared" si="46"/>
        <v>121.6</v>
      </c>
      <c r="BI24" s="24">
        <f t="shared" si="47"/>
        <v>123.7</v>
      </c>
      <c r="BJ24" s="24">
        <f t="shared" si="48"/>
        <v>125.8</v>
      </c>
      <c r="BK24" s="24">
        <f t="shared" si="49"/>
        <v>127.9</v>
      </c>
      <c r="BL24" s="23">
        <v>130</v>
      </c>
      <c r="BM24" s="24">
        <f t="shared" si="50"/>
        <v>132.19999999999999</v>
      </c>
      <c r="BN24" s="24">
        <f t="shared" si="51"/>
        <v>134.4</v>
      </c>
      <c r="BO24" s="24">
        <f t="shared" si="52"/>
        <v>136.6</v>
      </c>
      <c r="BP24" s="24">
        <f t="shared" si="53"/>
        <v>138.80000000000001</v>
      </c>
      <c r="BQ24" s="24">
        <f t="shared" si="54"/>
        <v>141</v>
      </c>
      <c r="BR24" s="24">
        <f t="shared" si="55"/>
        <v>143.19999999999999</v>
      </c>
      <c r="BS24" s="24">
        <f t="shared" si="56"/>
        <v>145.4</v>
      </c>
      <c r="BT24" s="24">
        <f t="shared" si="57"/>
        <v>147.6</v>
      </c>
      <c r="BU24" s="24">
        <f t="shared" si="58"/>
        <v>149.80000000000001</v>
      </c>
      <c r="BV24" s="23">
        <v>152</v>
      </c>
      <c r="BW24" s="24">
        <f t="shared" si="59"/>
        <v>154.19999999999999</v>
      </c>
      <c r="BX24" s="24">
        <f t="shared" si="60"/>
        <v>156.4</v>
      </c>
      <c r="BY24" s="24">
        <f t="shared" si="61"/>
        <v>158.6</v>
      </c>
      <c r="BZ24" s="24">
        <f t="shared" si="62"/>
        <v>160.80000000000001</v>
      </c>
      <c r="CA24" s="23">
        <v>163</v>
      </c>
      <c r="CB24" s="24">
        <f t="shared" si="63"/>
        <v>165.2</v>
      </c>
      <c r="CC24" s="24">
        <f t="shared" si="64"/>
        <v>167.4</v>
      </c>
      <c r="CD24" s="24">
        <f t="shared" si="65"/>
        <v>169.6</v>
      </c>
      <c r="CE24" s="24">
        <f t="shared" si="66"/>
        <v>171.8</v>
      </c>
      <c r="CF24" s="23">
        <v>174</v>
      </c>
      <c r="CG24" s="24">
        <f t="shared" si="67"/>
        <v>176.2</v>
      </c>
      <c r="CH24" s="24">
        <f t="shared" si="68"/>
        <v>178.4</v>
      </c>
      <c r="CI24" s="24">
        <f t="shared" si="69"/>
        <v>180.6</v>
      </c>
      <c r="CJ24" s="24">
        <f t="shared" si="70"/>
        <v>182.8</v>
      </c>
      <c r="CK24" s="23">
        <v>185</v>
      </c>
      <c r="CL24" s="24">
        <f t="shared" si="71"/>
        <v>187.21428571428572</v>
      </c>
      <c r="CM24" s="24">
        <f t="shared" si="72"/>
        <v>189.42857142857142</v>
      </c>
      <c r="CN24" s="24">
        <f t="shared" si="73"/>
        <v>191.64285714285714</v>
      </c>
      <c r="CO24" s="24">
        <f t="shared" si="74"/>
        <v>193.85714285714286</v>
      </c>
      <c r="CP24" s="24">
        <f t="shared" si="75"/>
        <v>196.07142857142858</v>
      </c>
      <c r="CQ24" s="24">
        <f t="shared" si="76"/>
        <v>198.28571428571428</v>
      </c>
      <c r="CR24" s="24">
        <f t="shared" si="77"/>
        <v>200.5</v>
      </c>
      <c r="CS24" s="24">
        <f t="shared" si="78"/>
        <v>202.71428571428572</v>
      </c>
      <c r="CT24" s="24">
        <f t="shared" si="79"/>
        <v>204.92857142857144</v>
      </c>
      <c r="CU24" s="24">
        <f t="shared" si="80"/>
        <v>207.14285714285714</v>
      </c>
      <c r="CV24" s="24">
        <f t="shared" si="81"/>
        <v>209.35714285714286</v>
      </c>
      <c r="CW24" s="24">
        <f t="shared" si="82"/>
        <v>211.57142857142858</v>
      </c>
      <c r="CX24" s="24">
        <f t="shared" si="83"/>
        <v>213.78571428571428</v>
      </c>
      <c r="CY24" s="29">
        <v>216</v>
      </c>
    </row>
    <row r="25" spans="3:103" ht="16.5" thickTop="1" thickBot="1" x14ac:dyDescent="0.3">
      <c r="C25" s="20">
        <f>Inputs!F52</f>
        <v>3520</v>
      </c>
      <c r="D25" s="23">
        <v>0</v>
      </c>
      <c r="E25" s="24">
        <f t="shared" si="0"/>
        <v>3</v>
      </c>
      <c r="F25" s="24">
        <f t="shared" si="1"/>
        <v>6</v>
      </c>
      <c r="G25" s="24">
        <f t="shared" si="2"/>
        <v>9</v>
      </c>
      <c r="H25" s="24">
        <f t="shared" si="3"/>
        <v>12</v>
      </c>
      <c r="I25" s="23">
        <v>15</v>
      </c>
      <c r="J25" s="24">
        <f t="shared" si="4"/>
        <v>17</v>
      </c>
      <c r="K25" s="24">
        <f t="shared" si="5"/>
        <v>19</v>
      </c>
      <c r="L25" s="24">
        <f t="shared" si="6"/>
        <v>21</v>
      </c>
      <c r="M25" s="24">
        <f t="shared" si="7"/>
        <v>23</v>
      </c>
      <c r="N25" s="23">
        <v>25</v>
      </c>
      <c r="O25" s="24">
        <f t="shared" si="8"/>
        <v>28.2</v>
      </c>
      <c r="P25" s="24">
        <f t="shared" si="9"/>
        <v>31.4</v>
      </c>
      <c r="Q25" s="24">
        <f t="shared" si="10"/>
        <v>34.6</v>
      </c>
      <c r="R25" s="24">
        <f t="shared" si="11"/>
        <v>37.799999999999997</v>
      </c>
      <c r="S25" s="23">
        <v>41</v>
      </c>
      <c r="T25" s="24">
        <f t="shared" si="12"/>
        <v>41.8</v>
      </c>
      <c r="U25" s="24">
        <f t="shared" si="13"/>
        <v>42.6</v>
      </c>
      <c r="V25" s="24">
        <f t="shared" si="14"/>
        <v>43.4</v>
      </c>
      <c r="W25" s="24">
        <f t="shared" si="15"/>
        <v>44.2</v>
      </c>
      <c r="X25" s="23">
        <v>45</v>
      </c>
      <c r="Y25" s="24">
        <f t="shared" si="16"/>
        <v>46.8</v>
      </c>
      <c r="Z25" s="24">
        <f t="shared" si="17"/>
        <v>48.6</v>
      </c>
      <c r="AA25" s="24">
        <f t="shared" si="18"/>
        <v>50.4</v>
      </c>
      <c r="AB25" s="24">
        <f t="shared" si="19"/>
        <v>52.2</v>
      </c>
      <c r="AC25" s="23">
        <v>54</v>
      </c>
      <c r="AD25" s="24">
        <f t="shared" si="20"/>
        <v>56.4</v>
      </c>
      <c r="AE25" s="24">
        <f t="shared" si="21"/>
        <v>58.8</v>
      </c>
      <c r="AF25" s="24">
        <f t="shared" si="22"/>
        <v>61.2</v>
      </c>
      <c r="AG25" s="24">
        <f t="shared" si="23"/>
        <v>63.6</v>
      </c>
      <c r="AH25" s="23">
        <v>66</v>
      </c>
      <c r="AI25" s="24">
        <f t="shared" si="24"/>
        <v>68.2</v>
      </c>
      <c r="AJ25" s="24">
        <f t="shared" si="25"/>
        <v>70.400000000000006</v>
      </c>
      <c r="AK25" s="24">
        <f t="shared" si="26"/>
        <v>72.599999999999994</v>
      </c>
      <c r="AL25" s="24">
        <f t="shared" si="27"/>
        <v>74.8</v>
      </c>
      <c r="AM25" s="23">
        <v>77</v>
      </c>
      <c r="AN25" s="24">
        <f t="shared" si="28"/>
        <v>79.2</v>
      </c>
      <c r="AO25" s="24">
        <f t="shared" si="29"/>
        <v>81.400000000000006</v>
      </c>
      <c r="AP25" s="24">
        <f t="shared" si="30"/>
        <v>83.6</v>
      </c>
      <c r="AQ25" s="24">
        <f t="shared" si="31"/>
        <v>85.8</v>
      </c>
      <c r="AR25" s="23">
        <v>88</v>
      </c>
      <c r="AS25" s="24">
        <f t="shared" si="32"/>
        <v>90.1</v>
      </c>
      <c r="AT25" s="24">
        <f t="shared" si="33"/>
        <v>92.2</v>
      </c>
      <c r="AU25" s="24">
        <f t="shared" si="34"/>
        <v>94.3</v>
      </c>
      <c r="AV25" s="24">
        <f t="shared" si="35"/>
        <v>96.4</v>
      </c>
      <c r="AW25" s="24">
        <f t="shared" si="36"/>
        <v>98.5</v>
      </c>
      <c r="AX25" s="24">
        <f t="shared" si="37"/>
        <v>100.6</v>
      </c>
      <c r="AY25" s="24">
        <f t="shared" si="38"/>
        <v>102.7</v>
      </c>
      <c r="AZ25" s="24">
        <f t="shared" si="39"/>
        <v>104.8</v>
      </c>
      <c r="BA25" s="24">
        <f t="shared" si="40"/>
        <v>106.9</v>
      </c>
      <c r="BB25" s="23">
        <v>109</v>
      </c>
      <c r="BC25" s="24">
        <f t="shared" si="41"/>
        <v>111.2</v>
      </c>
      <c r="BD25" s="24">
        <f t="shared" si="42"/>
        <v>113.4</v>
      </c>
      <c r="BE25" s="24">
        <f t="shared" si="43"/>
        <v>115.6</v>
      </c>
      <c r="BF25" s="24">
        <f t="shared" si="44"/>
        <v>117.8</v>
      </c>
      <c r="BG25" s="24">
        <f t="shared" si="45"/>
        <v>120</v>
      </c>
      <c r="BH25" s="24">
        <f t="shared" si="46"/>
        <v>122.2</v>
      </c>
      <c r="BI25" s="24">
        <f t="shared" si="47"/>
        <v>124.4</v>
      </c>
      <c r="BJ25" s="24">
        <f t="shared" si="48"/>
        <v>126.6</v>
      </c>
      <c r="BK25" s="24">
        <f t="shared" si="49"/>
        <v>128.80000000000001</v>
      </c>
      <c r="BL25" s="23">
        <v>131</v>
      </c>
      <c r="BM25" s="24">
        <f t="shared" si="50"/>
        <v>133.19999999999999</v>
      </c>
      <c r="BN25" s="24">
        <f t="shared" si="51"/>
        <v>135.4</v>
      </c>
      <c r="BO25" s="24">
        <f t="shared" si="52"/>
        <v>137.6</v>
      </c>
      <c r="BP25" s="24">
        <f t="shared" si="53"/>
        <v>139.80000000000001</v>
      </c>
      <c r="BQ25" s="24">
        <f t="shared" si="54"/>
        <v>142</v>
      </c>
      <c r="BR25" s="24">
        <f t="shared" si="55"/>
        <v>144.19999999999999</v>
      </c>
      <c r="BS25" s="24">
        <f t="shared" si="56"/>
        <v>146.4</v>
      </c>
      <c r="BT25" s="24">
        <f t="shared" si="57"/>
        <v>148.6</v>
      </c>
      <c r="BU25" s="24">
        <f t="shared" si="58"/>
        <v>150.80000000000001</v>
      </c>
      <c r="BV25" s="23">
        <v>153</v>
      </c>
      <c r="BW25" s="24">
        <f t="shared" si="59"/>
        <v>155.19999999999999</v>
      </c>
      <c r="BX25" s="24">
        <f t="shared" si="60"/>
        <v>157.4</v>
      </c>
      <c r="BY25" s="24">
        <f t="shared" si="61"/>
        <v>159.6</v>
      </c>
      <c r="BZ25" s="24">
        <f t="shared" si="62"/>
        <v>161.80000000000001</v>
      </c>
      <c r="CA25" s="23">
        <v>164</v>
      </c>
      <c r="CB25" s="24">
        <f t="shared" si="63"/>
        <v>166.2</v>
      </c>
      <c r="CC25" s="24">
        <f t="shared" si="64"/>
        <v>168.4</v>
      </c>
      <c r="CD25" s="24">
        <f t="shared" si="65"/>
        <v>170.6</v>
      </c>
      <c r="CE25" s="24">
        <f t="shared" si="66"/>
        <v>172.8</v>
      </c>
      <c r="CF25" s="23">
        <v>175</v>
      </c>
      <c r="CG25" s="24">
        <f t="shared" si="67"/>
        <v>177.2</v>
      </c>
      <c r="CH25" s="24">
        <f t="shared" si="68"/>
        <v>179.4</v>
      </c>
      <c r="CI25" s="24">
        <f t="shared" si="69"/>
        <v>181.6</v>
      </c>
      <c r="CJ25" s="24">
        <f t="shared" si="70"/>
        <v>183.8</v>
      </c>
      <c r="CK25" s="23">
        <v>186</v>
      </c>
      <c r="CL25" s="24">
        <f t="shared" si="71"/>
        <v>188.14285714285714</v>
      </c>
      <c r="CM25" s="24">
        <f t="shared" si="72"/>
        <v>190.28571428571428</v>
      </c>
      <c r="CN25" s="24">
        <f t="shared" si="73"/>
        <v>192.42857142857142</v>
      </c>
      <c r="CO25" s="24">
        <f t="shared" si="74"/>
        <v>194.57142857142858</v>
      </c>
      <c r="CP25" s="24">
        <f t="shared" si="75"/>
        <v>196.71428571428572</v>
      </c>
      <c r="CQ25" s="24">
        <f t="shared" si="76"/>
        <v>198.85714285714286</v>
      </c>
      <c r="CR25" s="24">
        <f t="shared" si="77"/>
        <v>201</v>
      </c>
      <c r="CS25" s="24">
        <f t="shared" si="78"/>
        <v>203.14285714285714</v>
      </c>
      <c r="CT25" s="24">
        <f t="shared" si="79"/>
        <v>205.28571428571428</v>
      </c>
      <c r="CU25" s="24">
        <f t="shared" si="80"/>
        <v>207.42857142857142</v>
      </c>
      <c r="CV25" s="24">
        <f t="shared" si="81"/>
        <v>209.57142857142856</v>
      </c>
      <c r="CW25" s="24">
        <f t="shared" si="82"/>
        <v>211.71428571428572</v>
      </c>
      <c r="CX25" s="24">
        <f t="shared" si="83"/>
        <v>213.85714285714286</v>
      </c>
      <c r="CY25" s="29">
        <v>216</v>
      </c>
    </row>
    <row r="26" spans="3:103" ht="16.5" thickTop="1" thickBot="1" x14ac:dyDescent="0.3">
      <c r="C26" s="20">
        <f>Inputs!F53</f>
        <v>4000</v>
      </c>
      <c r="D26" s="23">
        <v>0</v>
      </c>
      <c r="E26" s="24">
        <f t="shared" si="0"/>
        <v>3.2</v>
      </c>
      <c r="F26" s="24">
        <f t="shared" si="1"/>
        <v>6.4</v>
      </c>
      <c r="G26" s="24">
        <f t="shared" si="2"/>
        <v>9.6000000000000014</v>
      </c>
      <c r="H26" s="24">
        <f t="shared" si="3"/>
        <v>12.8</v>
      </c>
      <c r="I26" s="23">
        <v>16</v>
      </c>
      <c r="J26" s="24">
        <f t="shared" si="4"/>
        <v>18</v>
      </c>
      <c r="K26" s="24">
        <f t="shared" si="5"/>
        <v>20</v>
      </c>
      <c r="L26" s="24">
        <f t="shared" si="6"/>
        <v>22</v>
      </c>
      <c r="M26" s="24">
        <f t="shared" si="7"/>
        <v>24</v>
      </c>
      <c r="N26" s="23">
        <v>26</v>
      </c>
      <c r="O26" s="24">
        <f t="shared" si="8"/>
        <v>29.2</v>
      </c>
      <c r="P26" s="24">
        <f t="shared" si="9"/>
        <v>32.4</v>
      </c>
      <c r="Q26" s="24">
        <f t="shared" si="10"/>
        <v>35.6</v>
      </c>
      <c r="R26" s="24">
        <f t="shared" si="11"/>
        <v>38.799999999999997</v>
      </c>
      <c r="S26" s="23">
        <v>42</v>
      </c>
      <c r="T26" s="24">
        <f t="shared" si="12"/>
        <v>42.8</v>
      </c>
      <c r="U26" s="24">
        <f t="shared" si="13"/>
        <v>43.6</v>
      </c>
      <c r="V26" s="24">
        <f t="shared" si="14"/>
        <v>44.4</v>
      </c>
      <c r="W26" s="24">
        <f t="shared" si="15"/>
        <v>45.2</v>
      </c>
      <c r="X26" s="23">
        <v>46</v>
      </c>
      <c r="Y26" s="24">
        <f t="shared" si="16"/>
        <v>47.8</v>
      </c>
      <c r="Z26" s="24">
        <f t="shared" si="17"/>
        <v>49.6</v>
      </c>
      <c r="AA26" s="24">
        <f t="shared" si="18"/>
        <v>51.4</v>
      </c>
      <c r="AB26" s="24">
        <f t="shared" si="19"/>
        <v>53.2</v>
      </c>
      <c r="AC26" s="23">
        <v>55</v>
      </c>
      <c r="AD26" s="24">
        <f t="shared" si="20"/>
        <v>57.2</v>
      </c>
      <c r="AE26" s="24">
        <f t="shared" si="21"/>
        <v>59.4</v>
      </c>
      <c r="AF26" s="24">
        <f t="shared" si="22"/>
        <v>61.6</v>
      </c>
      <c r="AG26" s="24">
        <f t="shared" si="23"/>
        <v>63.8</v>
      </c>
      <c r="AH26" s="23">
        <v>66</v>
      </c>
      <c r="AI26" s="24">
        <f t="shared" si="24"/>
        <v>68.2</v>
      </c>
      <c r="AJ26" s="24">
        <f t="shared" si="25"/>
        <v>70.400000000000006</v>
      </c>
      <c r="AK26" s="24">
        <f t="shared" si="26"/>
        <v>72.599999999999994</v>
      </c>
      <c r="AL26" s="24">
        <f t="shared" si="27"/>
        <v>74.8</v>
      </c>
      <c r="AM26" s="23">
        <v>77</v>
      </c>
      <c r="AN26" s="24">
        <f t="shared" si="28"/>
        <v>79.2</v>
      </c>
      <c r="AO26" s="24">
        <f t="shared" si="29"/>
        <v>81.400000000000006</v>
      </c>
      <c r="AP26" s="24">
        <f t="shared" si="30"/>
        <v>83.6</v>
      </c>
      <c r="AQ26" s="24">
        <f t="shared" si="31"/>
        <v>85.8</v>
      </c>
      <c r="AR26" s="23">
        <v>88</v>
      </c>
      <c r="AS26" s="24">
        <f t="shared" si="32"/>
        <v>90.2</v>
      </c>
      <c r="AT26" s="24">
        <f t="shared" si="33"/>
        <v>92.4</v>
      </c>
      <c r="AU26" s="24">
        <f t="shared" si="34"/>
        <v>94.6</v>
      </c>
      <c r="AV26" s="24">
        <f t="shared" si="35"/>
        <v>96.8</v>
      </c>
      <c r="AW26" s="24">
        <f t="shared" si="36"/>
        <v>99</v>
      </c>
      <c r="AX26" s="24">
        <f t="shared" si="37"/>
        <v>101.2</v>
      </c>
      <c r="AY26" s="24">
        <f t="shared" si="38"/>
        <v>103.4</v>
      </c>
      <c r="AZ26" s="24">
        <f t="shared" si="39"/>
        <v>105.6</v>
      </c>
      <c r="BA26" s="24">
        <f t="shared" si="40"/>
        <v>107.8</v>
      </c>
      <c r="BB26" s="23">
        <v>110</v>
      </c>
      <c r="BC26" s="24">
        <f t="shared" si="41"/>
        <v>112.2</v>
      </c>
      <c r="BD26" s="24">
        <f t="shared" si="42"/>
        <v>114.4</v>
      </c>
      <c r="BE26" s="24">
        <f t="shared" si="43"/>
        <v>116.6</v>
      </c>
      <c r="BF26" s="24">
        <f t="shared" si="44"/>
        <v>118.8</v>
      </c>
      <c r="BG26" s="24">
        <f t="shared" si="45"/>
        <v>121</v>
      </c>
      <c r="BH26" s="24">
        <f t="shared" si="46"/>
        <v>123.2</v>
      </c>
      <c r="BI26" s="24">
        <f t="shared" si="47"/>
        <v>125.4</v>
      </c>
      <c r="BJ26" s="24">
        <f t="shared" si="48"/>
        <v>127.6</v>
      </c>
      <c r="BK26" s="24">
        <f t="shared" si="49"/>
        <v>129.80000000000001</v>
      </c>
      <c r="BL26" s="23">
        <v>132</v>
      </c>
      <c r="BM26" s="24">
        <f t="shared" si="50"/>
        <v>134.19999999999999</v>
      </c>
      <c r="BN26" s="24">
        <f t="shared" si="51"/>
        <v>136.4</v>
      </c>
      <c r="BO26" s="24">
        <f t="shared" si="52"/>
        <v>138.6</v>
      </c>
      <c r="BP26" s="24">
        <f t="shared" si="53"/>
        <v>140.80000000000001</v>
      </c>
      <c r="BQ26" s="24">
        <f t="shared" si="54"/>
        <v>143</v>
      </c>
      <c r="BR26" s="24">
        <f t="shared" si="55"/>
        <v>145.19999999999999</v>
      </c>
      <c r="BS26" s="24">
        <f t="shared" si="56"/>
        <v>147.4</v>
      </c>
      <c r="BT26" s="24">
        <f t="shared" si="57"/>
        <v>149.6</v>
      </c>
      <c r="BU26" s="24">
        <f t="shared" si="58"/>
        <v>151.80000000000001</v>
      </c>
      <c r="BV26" s="23">
        <v>154</v>
      </c>
      <c r="BW26" s="24">
        <f t="shared" si="59"/>
        <v>156.19999999999999</v>
      </c>
      <c r="BX26" s="24">
        <f t="shared" si="60"/>
        <v>158.4</v>
      </c>
      <c r="BY26" s="24">
        <f t="shared" si="61"/>
        <v>160.6</v>
      </c>
      <c r="BZ26" s="24">
        <f t="shared" si="62"/>
        <v>162.80000000000001</v>
      </c>
      <c r="CA26" s="23">
        <v>165</v>
      </c>
      <c r="CB26" s="24">
        <f t="shared" si="63"/>
        <v>167.2</v>
      </c>
      <c r="CC26" s="24">
        <f t="shared" si="64"/>
        <v>169.4</v>
      </c>
      <c r="CD26" s="24">
        <f t="shared" si="65"/>
        <v>171.6</v>
      </c>
      <c r="CE26" s="24">
        <f t="shared" si="66"/>
        <v>173.8</v>
      </c>
      <c r="CF26" s="23">
        <v>176</v>
      </c>
      <c r="CG26" s="24">
        <f t="shared" si="67"/>
        <v>178.2</v>
      </c>
      <c r="CH26" s="24">
        <f t="shared" si="68"/>
        <v>180.4</v>
      </c>
      <c r="CI26" s="24">
        <f t="shared" si="69"/>
        <v>182.6</v>
      </c>
      <c r="CJ26" s="24">
        <f t="shared" si="70"/>
        <v>184.8</v>
      </c>
      <c r="CK26" s="23">
        <v>187</v>
      </c>
      <c r="CL26" s="24">
        <f t="shared" si="71"/>
        <v>189.14285714285714</v>
      </c>
      <c r="CM26" s="24">
        <f t="shared" si="72"/>
        <v>191.28571428571428</v>
      </c>
      <c r="CN26" s="24">
        <f t="shared" si="73"/>
        <v>193.42857142857142</v>
      </c>
      <c r="CO26" s="24">
        <f t="shared" si="74"/>
        <v>195.57142857142858</v>
      </c>
      <c r="CP26" s="24">
        <f t="shared" si="75"/>
        <v>197.71428571428572</v>
      </c>
      <c r="CQ26" s="24">
        <f t="shared" si="76"/>
        <v>199.85714285714286</v>
      </c>
      <c r="CR26" s="24">
        <f t="shared" si="77"/>
        <v>202</v>
      </c>
      <c r="CS26" s="24">
        <f t="shared" si="78"/>
        <v>204.14285714285714</v>
      </c>
      <c r="CT26" s="24">
        <f t="shared" si="79"/>
        <v>206.28571428571428</v>
      </c>
      <c r="CU26" s="24">
        <f t="shared" si="80"/>
        <v>208.42857142857142</v>
      </c>
      <c r="CV26" s="24">
        <f t="shared" si="81"/>
        <v>210.57142857142856</v>
      </c>
      <c r="CW26" s="24">
        <f t="shared" si="82"/>
        <v>212.71428571428572</v>
      </c>
      <c r="CX26" s="24">
        <f t="shared" si="83"/>
        <v>214.85714285714286</v>
      </c>
      <c r="CY26" s="29">
        <v>217</v>
      </c>
    </row>
    <row r="27" spans="3:103" ht="16.5" thickTop="1" thickBot="1" x14ac:dyDescent="0.3">
      <c r="C27" s="20">
        <f>Inputs!F54</f>
        <v>4520</v>
      </c>
      <c r="D27" s="23">
        <v>0</v>
      </c>
      <c r="E27" s="24">
        <f t="shared" si="0"/>
        <v>3.4</v>
      </c>
      <c r="F27" s="24">
        <f t="shared" si="1"/>
        <v>6.8</v>
      </c>
      <c r="G27" s="24">
        <f t="shared" si="2"/>
        <v>10.199999999999999</v>
      </c>
      <c r="H27" s="24">
        <f t="shared" si="3"/>
        <v>13.6</v>
      </c>
      <c r="I27" s="23">
        <v>17</v>
      </c>
      <c r="J27" s="24">
        <f t="shared" si="4"/>
        <v>19</v>
      </c>
      <c r="K27" s="24">
        <f t="shared" si="5"/>
        <v>21</v>
      </c>
      <c r="L27" s="24">
        <f t="shared" si="6"/>
        <v>23</v>
      </c>
      <c r="M27" s="24">
        <f t="shared" si="7"/>
        <v>25</v>
      </c>
      <c r="N27" s="23">
        <v>27</v>
      </c>
      <c r="O27" s="24">
        <f t="shared" si="8"/>
        <v>30.2</v>
      </c>
      <c r="P27" s="24">
        <f t="shared" si="9"/>
        <v>33.4</v>
      </c>
      <c r="Q27" s="24">
        <f t="shared" si="10"/>
        <v>36.6</v>
      </c>
      <c r="R27" s="24">
        <f t="shared" si="11"/>
        <v>39.799999999999997</v>
      </c>
      <c r="S27" s="23">
        <v>43</v>
      </c>
      <c r="T27" s="24">
        <f t="shared" si="12"/>
        <v>43.8</v>
      </c>
      <c r="U27" s="24">
        <f t="shared" si="13"/>
        <v>44.6</v>
      </c>
      <c r="V27" s="24">
        <f t="shared" si="14"/>
        <v>45.4</v>
      </c>
      <c r="W27" s="24">
        <f t="shared" si="15"/>
        <v>46.2</v>
      </c>
      <c r="X27" s="23">
        <v>47</v>
      </c>
      <c r="Y27" s="24">
        <f t="shared" si="16"/>
        <v>48.6</v>
      </c>
      <c r="Z27" s="24">
        <f t="shared" si="17"/>
        <v>50.2</v>
      </c>
      <c r="AA27" s="24">
        <f t="shared" si="18"/>
        <v>51.8</v>
      </c>
      <c r="AB27" s="24">
        <f t="shared" si="19"/>
        <v>53.4</v>
      </c>
      <c r="AC27" s="23">
        <v>55</v>
      </c>
      <c r="AD27" s="24">
        <f t="shared" si="20"/>
        <v>57.4</v>
      </c>
      <c r="AE27" s="24">
        <f t="shared" si="21"/>
        <v>59.8</v>
      </c>
      <c r="AF27" s="24">
        <f t="shared" si="22"/>
        <v>62.2</v>
      </c>
      <c r="AG27" s="24">
        <f t="shared" si="23"/>
        <v>64.599999999999994</v>
      </c>
      <c r="AH27" s="23">
        <v>67</v>
      </c>
      <c r="AI27" s="24">
        <f t="shared" si="24"/>
        <v>69.2</v>
      </c>
      <c r="AJ27" s="24">
        <f t="shared" si="25"/>
        <v>71.400000000000006</v>
      </c>
      <c r="AK27" s="24">
        <f t="shared" si="26"/>
        <v>73.599999999999994</v>
      </c>
      <c r="AL27" s="24">
        <f t="shared" si="27"/>
        <v>75.8</v>
      </c>
      <c r="AM27" s="23">
        <v>78</v>
      </c>
      <c r="AN27" s="24">
        <f t="shared" si="28"/>
        <v>80.2</v>
      </c>
      <c r="AO27" s="24">
        <f t="shared" si="29"/>
        <v>82.4</v>
      </c>
      <c r="AP27" s="24">
        <f t="shared" si="30"/>
        <v>84.6</v>
      </c>
      <c r="AQ27" s="24">
        <f t="shared" si="31"/>
        <v>86.8</v>
      </c>
      <c r="AR27" s="23">
        <v>89</v>
      </c>
      <c r="AS27" s="24">
        <f t="shared" si="32"/>
        <v>91.2</v>
      </c>
      <c r="AT27" s="24">
        <f t="shared" si="33"/>
        <v>93.4</v>
      </c>
      <c r="AU27" s="24">
        <f t="shared" si="34"/>
        <v>95.6</v>
      </c>
      <c r="AV27" s="24">
        <f t="shared" si="35"/>
        <v>97.8</v>
      </c>
      <c r="AW27" s="24">
        <f t="shared" si="36"/>
        <v>100</v>
      </c>
      <c r="AX27" s="24">
        <f t="shared" si="37"/>
        <v>102.2</v>
      </c>
      <c r="AY27" s="24">
        <f t="shared" si="38"/>
        <v>104.4</v>
      </c>
      <c r="AZ27" s="24">
        <f t="shared" si="39"/>
        <v>106.6</v>
      </c>
      <c r="BA27" s="24">
        <f t="shared" si="40"/>
        <v>108.8</v>
      </c>
      <c r="BB27" s="23">
        <v>111</v>
      </c>
      <c r="BC27" s="24">
        <f t="shared" si="41"/>
        <v>113.2</v>
      </c>
      <c r="BD27" s="24">
        <f t="shared" si="42"/>
        <v>115.4</v>
      </c>
      <c r="BE27" s="24">
        <f t="shared" si="43"/>
        <v>117.6</v>
      </c>
      <c r="BF27" s="24">
        <f t="shared" si="44"/>
        <v>119.8</v>
      </c>
      <c r="BG27" s="24">
        <f t="shared" si="45"/>
        <v>122</v>
      </c>
      <c r="BH27" s="24">
        <f t="shared" si="46"/>
        <v>124.2</v>
      </c>
      <c r="BI27" s="24">
        <f t="shared" si="47"/>
        <v>126.4</v>
      </c>
      <c r="BJ27" s="24">
        <f t="shared" si="48"/>
        <v>128.6</v>
      </c>
      <c r="BK27" s="24">
        <f t="shared" si="49"/>
        <v>130.80000000000001</v>
      </c>
      <c r="BL27" s="23">
        <v>133</v>
      </c>
      <c r="BM27" s="24">
        <f t="shared" si="50"/>
        <v>135.1</v>
      </c>
      <c r="BN27" s="24">
        <f t="shared" si="51"/>
        <v>137.19999999999999</v>
      </c>
      <c r="BO27" s="24">
        <f t="shared" si="52"/>
        <v>139.30000000000001</v>
      </c>
      <c r="BP27" s="24">
        <f t="shared" si="53"/>
        <v>141.4</v>
      </c>
      <c r="BQ27" s="24">
        <f t="shared" si="54"/>
        <v>143.5</v>
      </c>
      <c r="BR27" s="24">
        <f t="shared" si="55"/>
        <v>145.6</v>
      </c>
      <c r="BS27" s="24">
        <f t="shared" si="56"/>
        <v>147.69999999999999</v>
      </c>
      <c r="BT27" s="24">
        <f t="shared" si="57"/>
        <v>149.80000000000001</v>
      </c>
      <c r="BU27" s="24">
        <f t="shared" si="58"/>
        <v>151.9</v>
      </c>
      <c r="BV27" s="23">
        <v>154</v>
      </c>
      <c r="BW27" s="24">
        <f t="shared" si="59"/>
        <v>156.4</v>
      </c>
      <c r="BX27" s="24">
        <f t="shared" si="60"/>
        <v>158.80000000000001</v>
      </c>
      <c r="BY27" s="24">
        <f t="shared" si="61"/>
        <v>161.19999999999999</v>
      </c>
      <c r="BZ27" s="24">
        <f t="shared" si="62"/>
        <v>163.6</v>
      </c>
      <c r="CA27" s="23">
        <v>166</v>
      </c>
      <c r="CB27" s="24">
        <f t="shared" si="63"/>
        <v>168.2</v>
      </c>
      <c r="CC27" s="24">
        <f t="shared" si="64"/>
        <v>170.4</v>
      </c>
      <c r="CD27" s="24">
        <f t="shared" si="65"/>
        <v>172.6</v>
      </c>
      <c r="CE27" s="24">
        <f t="shared" si="66"/>
        <v>174.8</v>
      </c>
      <c r="CF27" s="23">
        <v>177</v>
      </c>
      <c r="CG27" s="24">
        <f t="shared" si="67"/>
        <v>179.2</v>
      </c>
      <c r="CH27" s="24">
        <f t="shared" si="68"/>
        <v>181.4</v>
      </c>
      <c r="CI27" s="24">
        <f t="shared" si="69"/>
        <v>183.6</v>
      </c>
      <c r="CJ27" s="24">
        <f t="shared" si="70"/>
        <v>185.8</v>
      </c>
      <c r="CK27" s="23">
        <v>188</v>
      </c>
      <c r="CL27" s="24">
        <f t="shared" si="71"/>
        <v>190.14285714285714</v>
      </c>
      <c r="CM27" s="24">
        <f t="shared" si="72"/>
        <v>192.28571428571428</v>
      </c>
      <c r="CN27" s="24">
        <f t="shared" si="73"/>
        <v>194.42857142857142</v>
      </c>
      <c r="CO27" s="24">
        <f t="shared" si="74"/>
        <v>196.57142857142858</v>
      </c>
      <c r="CP27" s="24">
        <f t="shared" si="75"/>
        <v>198.71428571428572</v>
      </c>
      <c r="CQ27" s="24">
        <f t="shared" si="76"/>
        <v>200.85714285714286</v>
      </c>
      <c r="CR27" s="24">
        <f t="shared" si="77"/>
        <v>203</v>
      </c>
      <c r="CS27" s="24">
        <f t="shared" si="78"/>
        <v>205.14285714285714</v>
      </c>
      <c r="CT27" s="24">
        <f t="shared" si="79"/>
        <v>207.28571428571428</v>
      </c>
      <c r="CU27" s="24">
        <f t="shared" si="80"/>
        <v>209.42857142857142</v>
      </c>
      <c r="CV27" s="24">
        <f t="shared" si="81"/>
        <v>211.57142857142856</v>
      </c>
      <c r="CW27" s="24">
        <f t="shared" si="82"/>
        <v>213.71428571428572</v>
      </c>
      <c r="CX27" s="24">
        <f t="shared" si="83"/>
        <v>215.85714285714286</v>
      </c>
      <c r="CY27" s="29">
        <v>218</v>
      </c>
    </row>
    <row r="28" spans="3:103" ht="16.5" thickTop="1" thickBot="1" x14ac:dyDescent="0.3">
      <c r="C28" s="20">
        <f>Inputs!F55</f>
        <v>5000</v>
      </c>
      <c r="D28" s="23">
        <v>0</v>
      </c>
      <c r="E28" s="24">
        <f t="shared" si="0"/>
        <v>3.6</v>
      </c>
      <c r="F28" s="24">
        <f t="shared" si="1"/>
        <v>7.2</v>
      </c>
      <c r="G28" s="24">
        <f t="shared" si="2"/>
        <v>10.8</v>
      </c>
      <c r="H28" s="24">
        <f t="shared" si="3"/>
        <v>14.4</v>
      </c>
      <c r="I28" s="23">
        <v>18</v>
      </c>
      <c r="J28" s="24">
        <f t="shared" si="4"/>
        <v>20</v>
      </c>
      <c r="K28" s="24">
        <f t="shared" si="5"/>
        <v>22</v>
      </c>
      <c r="L28" s="24">
        <f t="shared" si="6"/>
        <v>24</v>
      </c>
      <c r="M28" s="24">
        <f t="shared" si="7"/>
        <v>26</v>
      </c>
      <c r="N28" s="23">
        <v>28</v>
      </c>
      <c r="O28" s="24">
        <f t="shared" si="8"/>
        <v>31.2</v>
      </c>
      <c r="P28" s="24">
        <f t="shared" si="9"/>
        <v>34.4</v>
      </c>
      <c r="Q28" s="24">
        <f t="shared" si="10"/>
        <v>37.6</v>
      </c>
      <c r="R28" s="24">
        <f t="shared" si="11"/>
        <v>40.799999999999997</v>
      </c>
      <c r="S28" s="23">
        <v>44</v>
      </c>
      <c r="T28" s="24">
        <f t="shared" si="12"/>
        <v>44.8</v>
      </c>
      <c r="U28" s="24">
        <f t="shared" si="13"/>
        <v>45.6</v>
      </c>
      <c r="V28" s="24">
        <f t="shared" si="14"/>
        <v>46.4</v>
      </c>
      <c r="W28" s="24">
        <f t="shared" si="15"/>
        <v>47.2</v>
      </c>
      <c r="X28" s="23">
        <v>48</v>
      </c>
      <c r="Y28" s="24">
        <f t="shared" si="16"/>
        <v>49.6</v>
      </c>
      <c r="Z28" s="24">
        <f t="shared" si="17"/>
        <v>51.2</v>
      </c>
      <c r="AA28" s="24">
        <f t="shared" si="18"/>
        <v>52.8</v>
      </c>
      <c r="AB28" s="24">
        <f t="shared" si="19"/>
        <v>54.4</v>
      </c>
      <c r="AC28" s="23">
        <v>56</v>
      </c>
      <c r="AD28" s="24">
        <f t="shared" si="20"/>
        <v>58.4</v>
      </c>
      <c r="AE28" s="24">
        <f t="shared" si="21"/>
        <v>60.8</v>
      </c>
      <c r="AF28" s="24">
        <f t="shared" si="22"/>
        <v>63.2</v>
      </c>
      <c r="AG28" s="24">
        <f t="shared" si="23"/>
        <v>65.599999999999994</v>
      </c>
      <c r="AH28" s="23">
        <v>68</v>
      </c>
      <c r="AI28" s="24">
        <f t="shared" si="24"/>
        <v>70.2</v>
      </c>
      <c r="AJ28" s="24">
        <f t="shared" si="25"/>
        <v>72.400000000000006</v>
      </c>
      <c r="AK28" s="24">
        <f t="shared" si="26"/>
        <v>74.599999999999994</v>
      </c>
      <c r="AL28" s="24">
        <f t="shared" si="27"/>
        <v>76.8</v>
      </c>
      <c r="AM28" s="23">
        <v>79</v>
      </c>
      <c r="AN28" s="24">
        <f t="shared" si="28"/>
        <v>81.2</v>
      </c>
      <c r="AO28" s="24">
        <f t="shared" si="29"/>
        <v>83.4</v>
      </c>
      <c r="AP28" s="24">
        <f t="shared" si="30"/>
        <v>85.6</v>
      </c>
      <c r="AQ28" s="24">
        <f t="shared" si="31"/>
        <v>87.8</v>
      </c>
      <c r="AR28" s="23">
        <v>90</v>
      </c>
      <c r="AS28" s="24">
        <f t="shared" si="32"/>
        <v>92.2</v>
      </c>
      <c r="AT28" s="24">
        <f t="shared" si="33"/>
        <v>94.4</v>
      </c>
      <c r="AU28" s="24">
        <f t="shared" si="34"/>
        <v>96.6</v>
      </c>
      <c r="AV28" s="24">
        <f t="shared" si="35"/>
        <v>98.8</v>
      </c>
      <c r="AW28" s="24">
        <f t="shared" si="36"/>
        <v>101</v>
      </c>
      <c r="AX28" s="24">
        <f t="shared" si="37"/>
        <v>103.2</v>
      </c>
      <c r="AY28" s="24">
        <f t="shared" si="38"/>
        <v>105.4</v>
      </c>
      <c r="AZ28" s="24">
        <f t="shared" si="39"/>
        <v>107.6</v>
      </c>
      <c r="BA28" s="24">
        <f t="shared" si="40"/>
        <v>109.8</v>
      </c>
      <c r="BB28" s="23">
        <v>112</v>
      </c>
      <c r="BC28" s="24">
        <f t="shared" si="41"/>
        <v>114.1</v>
      </c>
      <c r="BD28" s="24">
        <f t="shared" si="42"/>
        <v>116.2</v>
      </c>
      <c r="BE28" s="24">
        <f t="shared" si="43"/>
        <v>118.3</v>
      </c>
      <c r="BF28" s="24">
        <f t="shared" si="44"/>
        <v>120.4</v>
      </c>
      <c r="BG28" s="24">
        <f t="shared" si="45"/>
        <v>122.5</v>
      </c>
      <c r="BH28" s="24">
        <f t="shared" si="46"/>
        <v>124.6</v>
      </c>
      <c r="BI28" s="24">
        <f t="shared" si="47"/>
        <v>126.7</v>
      </c>
      <c r="BJ28" s="24">
        <f t="shared" si="48"/>
        <v>128.80000000000001</v>
      </c>
      <c r="BK28" s="24">
        <f t="shared" si="49"/>
        <v>130.9</v>
      </c>
      <c r="BL28" s="23">
        <v>133</v>
      </c>
      <c r="BM28" s="24">
        <f t="shared" si="50"/>
        <v>135.19999999999999</v>
      </c>
      <c r="BN28" s="24">
        <f t="shared" si="51"/>
        <v>137.4</v>
      </c>
      <c r="BO28" s="24">
        <f t="shared" si="52"/>
        <v>139.6</v>
      </c>
      <c r="BP28" s="24">
        <f t="shared" si="53"/>
        <v>141.80000000000001</v>
      </c>
      <c r="BQ28" s="24">
        <f t="shared" si="54"/>
        <v>144</v>
      </c>
      <c r="BR28" s="24">
        <f t="shared" si="55"/>
        <v>146.19999999999999</v>
      </c>
      <c r="BS28" s="24">
        <f t="shared" si="56"/>
        <v>148.4</v>
      </c>
      <c r="BT28" s="24">
        <f t="shared" si="57"/>
        <v>150.6</v>
      </c>
      <c r="BU28" s="24">
        <f t="shared" si="58"/>
        <v>152.80000000000001</v>
      </c>
      <c r="BV28" s="23">
        <v>155</v>
      </c>
      <c r="BW28" s="24">
        <f t="shared" si="59"/>
        <v>157.19999999999999</v>
      </c>
      <c r="BX28" s="24">
        <f t="shared" si="60"/>
        <v>159.4</v>
      </c>
      <c r="BY28" s="24">
        <f t="shared" si="61"/>
        <v>161.6</v>
      </c>
      <c r="BZ28" s="24">
        <f t="shared" si="62"/>
        <v>163.80000000000001</v>
      </c>
      <c r="CA28" s="23">
        <v>166</v>
      </c>
      <c r="CB28" s="24">
        <f t="shared" si="63"/>
        <v>168.2</v>
      </c>
      <c r="CC28" s="24">
        <f t="shared" si="64"/>
        <v>170.4</v>
      </c>
      <c r="CD28" s="24">
        <f t="shared" si="65"/>
        <v>172.6</v>
      </c>
      <c r="CE28" s="24">
        <f t="shared" si="66"/>
        <v>174.8</v>
      </c>
      <c r="CF28" s="23">
        <v>177</v>
      </c>
      <c r="CG28" s="24">
        <f t="shared" si="67"/>
        <v>179.2</v>
      </c>
      <c r="CH28" s="24">
        <f t="shared" si="68"/>
        <v>181.4</v>
      </c>
      <c r="CI28" s="24">
        <f t="shared" si="69"/>
        <v>183.6</v>
      </c>
      <c r="CJ28" s="24">
        <f t="shared" si="70"/>
        <v>185.8</v>
      </c>
      <c r="CK28" s="23">
        <v>188</v>
      </c>
      <c r="CL28" s="24">
        <f t="shared" si="71"/>
        <v>190.21428571428572</v>
      </c>
      <c r="CM28" s="24">
        <f t="shared" si="72"/>
        <v>192.42857142857142</v>
      </c>
      <c r="CN28" s="24">
        <f t="shared" si="73"/>
        <v>194.64285714285714</v>
      </c>
      <c r="CO28" s="24">
        <f t="shared" si="74"/>
        <v>196.85714285714286</v>
      </c>
      <c r="CP28" s="24">
        <f t="shared" si="75"/>
        <v>199.07142857142858</v>
      </c>
      <c r="CQ28" s="24">
        <f t="shared" si="76"/>
        <v>201.28571428571428</v>
      </c>
      <c r="CR28" s="24">
        <f t="shared" si="77"/>
        <v>203.5</v>
      </c>
      <c r="CS28" s="24">
        <f t="shared" si="78"/>
        <v>205.71428571428572</v>
      </c>
      <c r="CT28" s="24">
        <f t="shared" si="79"/>
        <v>207.92857142857144</v>
      </c>
      <c r="CU28" s="24">
        <f t="shared" si="80"/>
        <v>210.14285714285714</v>
      </c>
      <c r="CV28" s="24">
        <f t="shared" si="81"/>
        <v>212.35714285714286</v>
      </c>
      <c r="CW28" s="24">
        <f t="shared" si="82"/>
        <v>214.57142857142858</v>
      </c>
      <c r="CX28" s="24">
        <f t="shared" si="83"/>
        <v>216.78571428571428</v>
      </c>
      <c r="CY28" s="29">
        <v>219</v>
      </c>
    </row>
    <row r="29" spans="3:103" ht="16.5" thickTop="1" thickBot="1" x14ac:dyDescent="0.3">
      <c r="C29" s="20">
        <f>Inputs!F56</f>
        <v>5520</v>
      </c>
      <c r="D29" s="23">
        <v>0</v>
      </c>
      <c r="E29" s="24">
        <f t="shared" si="0"/>
        <v>3.8</v>
      </c>
      <c r="F29" s="24">
        <f t="shared" si="1"/>
        <v>7.6</v>
      </c>
      <c r="G29" s="24">
        <f t="shared" si="2"/>
        <v>11.399999999999999</v>
      </c>
      <c r="H29" s="24">
        <f t="shared" si="3"/>
        <v>15.2</v>
      </c>
      <c r="I29" s="23">
        <v>19</v>
      </c>
      <c r="J29" s="24">
        <f t="shared" si="4"/>
        <v>21</v>
      </c>
      <c r="K29" s="24">
        <f t="shared" si="5"/>
        <v>23</v>
      </c>
      <c r="L29" s="24">
        <f t="shared" si="6"/>
        <v>25</v>
      </c>
      <c r="M29" s="24">
        <f t="shared" si="7"/>
        <v>27</v>
      </c>
      <c r="N29" s="23">
        <v>29</v>
      </c>
      <c r="O29" s="24">
        <f t="shared" si="8"/>
        <v>32.4</v>
      </c>
      <c r="P29" s="24">
        <f t="shared" si="9"/>
        <v>35.799999999999997</v>
      </c>
      <c r="Q29" s="24">
        <f t="shared" si="10"/>
        <v>39.200000000000003</v>
      </c>
      <c r="R29" s="24">
        <f t="shared" si="11"/>
        <v>42.6</v>
      </c>
      <c r="S29" s="23">
        <v>46</v>
      </c>
      <c r="T29" s="24">
        <f t="shared" si="12"/>
        <v>46.6</v>
      </c>
      <c r="U29" s="24">
        <f t="shared" si="13"/>
        <v>47.2</v>
      </c>
      <c r="V29" s="24">
        <f t="shared" si="14"/>
        <v>47.8</v>
      </c>
      <c r="W29" s="24">
        <f t="shared" si="15"/>
        <v>48.4</v>
      </c>
      <c r="X29" s="23">
        <v>49</v>
      </c>
      <c r="Y29" s="24">
        <f t="shared" si="16"/>
        <v>50.6</v>
      </c>
      <c r="Z29" s="24">
        <f t="shared" si="17"/>
        <v>52.2</v>
      </c>
      <c r="AA29" s="24">
        <f t="shared" si="18"/>
        <v>53.8</v>
      </c>
      <c r="AB29" s="24">
        <f t="shared" si="19"/>
        <v>55.4</v>
      </c>
      <c r="AC29" s="23">
        <v>57</v>
      </c>
      <c r="AD29" s="24">
        <f t="shared" si="20"/>
        <v>59.4</v>
      </c>
      <c r="AE29" s="24">
        <f t="shared" si="21"/>
        <v>61.8</v>
      </c>
      <c r="AF29" s="24">
        <f t="shared" si="22"/>
        <v>64.2</v>
      </c>
      <c r="AG29" s="24">
        <f t="shared" si="23"/>
        <v>66.599999999999994</v>
      </c>
      <c r="AH29" s="23">
        <v>69</v>
      </c>
      <c r="AI29" s="24">
        <f t="shared" si="24"/>
        <v>71.2</v>
      </c>
      <c r="AJ29" s="24">
        <f t="shared" si="25"/>
        <v>73.400000000000006</v>
      </c>
      <c r="AK29" s="24">
        <f t="shared" si="26"/>
        <v>75.599999999999994</v>
      </c>
      <c r="AL29" s="24">
        <f t="shared" si="27"/>
        <v>77.8</v>
      </c>
      <c r="AM29" s="23">
        <v>80</v>
      </c>
      <c r="AN29" s="24">
        <f t="shared" si="28"/>
        <v>82.2</v>
      </c>
      <c r="AO29" s="24">
        <f t="shared" si="29"/>
        <v>84.4</v>
      </c>
      <c r="AP29" s="24">
        <f t="shared" si="30"/>
        <v>86.6</v>
      </c>
      <c r="AQ29" s="24">
        <f t="shared" si="31"/>
        <v>88.8</v>
      </c>
      <c r="AR29" s="23">
        <v>91</v>
      </c>
      <c r="AS29" s="24">
        <f t="shared" si="32"/>
        <v>93.2</v>
      </c>
      <c r="AT29" s="24">
        <f t="shared" si="33"/>
        <v>95.4</v>
      </c>
      <c r="AU29" s="24">
        <f t="shared" si="34"/>
        <v>97.6</v>
      </c>
      <c r="AV29" s="24">
        <f t="shared" si="35"/>
        <v>99.8</v>
      </c>
      <c r="AW29" s="24">
        <f t="shared" si="36"/>
        <v>102</v>
      </c>
      <c r="AX29" s="24">
        <f t="shared" si="37"/>
        <v>104.2</v>
      </c>
      <c r="AY29" s="24">
        <f t="shared" si="38"/>
        <v>106.4</v>
      </c>
      <c r="AZ29" s="24">
        <f t="shared" si="39"/>
        <v>108.6</v>
      </c>
      <c r="BA29" s="24">
        <f t="shared" si="40"/>
        <v>110.8</v>
      </c>
      <c r="BB29" s="23">
        <v>113</v>
      </c>
      <c r="BC29" s="24">
        <f t="shared" si="41"/>
        <v>115.1</v>
      </c>
      <c r="BD29" s="24">
        <f t="shared" si="42"/>
        <v>117.2</v>
      </c>
      <c r="BE29" s="24">
        <f t="shared" si="43"/>
        <v>119.3</v>
      </c>
      <c r="BF29" s="24">
        <f t="shared" si="44"/>
        <v>121.4</v>
      </c>
      <c r="BG29" s="24">
        <f t="shared" si="45"/>
        <v>123.5</v>
      </c>
      <c r="BH29" s="24">
        <f t="shared" si="46"/>
        <v>125.6</v>
      </c>
      <c r="BI29" s="24">
        <f t="shared" si="47"/>
        <v>127.7</v>
      </c>
      <c r="BJ29" s="24">
        <f t="shared" si="48"/>
        <v>129.80000000000001</v>
      </c>
      <c r="BK29" s="24">
        <f t="shared" si="49"/>
        <v>131.9</v>
      </c>
      <c r="BL29" s="23">
        <v>134</v>
      </c>
      <c r="BM29" s="24">
        <f t="shared" si="50"/>
        <v>136.19999999999999</v>
      </c>
      <c r="BN29" s="24">
        <f t="shared" si="51"/>
        <v>138.4</v>
      </c>
      <c r="BO29" s="24">
        <f t="shared" si="52"/>
        <v>140.6</v>
      </c>
      <c r="BP29" s="24">
        <f t="shared" si="53"/>
        <v>142.80000000000001</v>
      </c>
      <c r="BQ29" s="24">
        <f t="shared" si="54"/>
        <v>145</v>
      </c>
      <c r="BR29" s="24">
        <f t="shared" si="55"/>
        <v>147.19999999999999</v>
      </c>
      <c r="BS29" s="24">
        <f t="shared" si="56"/>
        <v>149.4</v>
      </c>
      <c r="BT29" s="24">
        <f t="shared" si="57"/>
        <v>151.6</v>
      </c>
      <c r="BU29" s="24">
        <f t="shared" si="58"/>
        <v>153.80000000000001</v>
      </c>
      <c r="BV29" s="23">
        <v>156</v>
      </c>
      <c r="BW29" s="24">
        <f t="shared" si="59"/>
        <v>158.19999999999999</v>
      </c>
      <c r="BX29" s="24">
        <f t="shared" si="60"/>
        <v>160.4</v>
      </c>
      <c r="BY29" s="24">
        <f t="shared" si="61"/>
        <v>162.6</v>
      </c>
      <c r="BZ29" s="24">
        <f t="shared" si="62"/>
        <v>164.8</v>
      </c>
      <c r="CA29" s="23">
        <v>167</v>
      </c>
      <c r="CB29" s="24">
        <f t="shared" si="63"/>
        <v>169.2</v>
      </c>
      <c r="CC29" s="24">
        <f t="shared" si="64"/>
        <v>171.4</v>
      </c>
      <c r="CD29" s="24">
        <f t="shared" si="65"/>
        <v>173.6</v>
      </c>
      <c r="CE29" s="24">
        <f t="shared" si="66"/>
        <v>175.8</v>
      </c>
      <c r="CF29" s="23">
        <v>178</v>
      </c>
      <c r="CG29" s="24">
        <f t="shared" si="67"/>
        <v>180.2</v>
      </c>
      <c r="CH29" s="24">
        <f t="shared" si="68"/>
        <v>182.4</v>
      </c>
      <c r="CI29" s="24">
        <f t="shared" si="69"/>
        <v>184.6</v>
      </c>
      <c r="CJ29" s="24">
        <f t="shared" si="70"/>
        <v>186.8</v>
      </c>
      <c r="CK29" s="23">
        <v>189</v>
      </c>
      <c r="CL29" s="24">
        <f t="shared" si="71"/>
        <v>191.21428571428572</v>
      </c>
      <c r="CM29" s="24">
        <f t="shared" si="72"/>
        <v>193.42857142857142</v>
      </c>
      <c r="CN29" s="24">
        <f t="shared" si="73"/>
        <v>195.64285714285714</v>
      </c>
      <c r="CO29" s="24">
        <f t="shared" si="74"/>
        <v>197.85714285714286</v>
      </c>
      <c r="CP29" s="24">
        <f t="shared" si="75"/>
        <v>200.07142857142858</v>
      </c>
      <c r="CQ29" s="24">
        <f t="shared" si="76"/>
        <v>202.28571428571428</v>
      </c>
      <c r="CR29" s="24">
        <f t="shared" si="77"/>
        <v>204.5</v>
      </c>
      <c r="CS29" s="24">
        <f t="shared" si="78"/>
        <v>206.71428571428572</v>
      </c>
      <c r="CT29" s="24">
        <f t="shared" si="79"/>
        <v>208.92857142857144</v>
      </c>
      <c r="CU29" s="24">
        <f t="shared" si="80"/>
        <v>211.14285714285714</v>
      </c>
      <c r="CV29" s="24">
        <f t="shared" si="81"/>
        <v>213.35714285714286</v>
      </c>
      <c r="CW29" s="24">
        <f t="shared" si="82"/>
        <v>215.57142857142858</v>
      </c>
      <c r="CX29" s="24">
        <f t="shared" si="83"/>
        <v>217.78571428571428</v>
      </c>
      <c r="CY29" s="29">
        <v>220</v>
      </c>
    </row>
    <row r="30" spans="3:103" ht="16.5" thickTop="1" thickBot="1" x14ac:dyDescent="0.3">
      <c r="C30" s="20">
        <f>Inputs!F57</f>
        <v>6000</v>
      </c>
      <c r="D30" s="23">
        <v>0</v>
      </c>
      <c r="E30" s="24">
        <f t="shared" si="0"/>
        <v>3.8</v>
      </c>
      <c r="F30" s="24">
        <f t="shared" si="1"/>
        <v>7.6</v>
      </c>
      <c r="G30" s="24">
        <f t="shared" si="2"/>
        <v>11.399999999999999</v>
      </c>
      <c r="H30" s="24">
        <f t="shared" si="3"/>
        <v>15.2</v>
      </c>
      <c r="I30" s="23">
        <v>19</v>
      </c>
      <c r="J30" s="24">
        <f t="shared" si="4"/>
        <v>21</v>
      </c>
      <c r="K30" s="24">
        <f t="shared" si="5"/>
        <v>23</v>
      </c>
      <c r="L30" s="24">
        <f t="shared" si="6"/>
        <v>25</v>
      </c>
      <c r="M30" s="24">
        <f t="shared" si="7"/>
        <v>27</v>
      </c>
      <c r="N30" s="23">
        <v>29</v>
      </c>
      <c r="O30" s="24">
        <f t="shared" si="8"/>
        <v>32.6</v>
      </c>
      <c r="P30" s="24">
        <f t="shared" si="9"/>
        <v>36.200000000000003</v>
      </c>
      <c r="Q30" s="24">
        <f t="shared" si="10"/>
        <v>39.799999999999997</v>
      </c>
      <c r="R30" s="24">
        <f t="shared" si="11"/>
        <v>43.4</v>
      </c>
      <c r="S30" s="23">
        <v>47</v>
      </c>
      <c r="T30" s="24">
        <f t="shared" si="12"/>
        <v>47.6</v>
      </c>
      <c r="U30" s="24">
        <f t="shared" si="13"/>
        <v>48.2</v>
      </c>
      <c r="V30" s="24">
        <f t="shared" si="14"/>
        <v>48.8</v>
      </c>
      <c r="W30" s="24">
        <f t="shared" si="15"/>
        <v>49.4</v>
      </c>
      <c r="X30" s="23">
        <v>50</v>
      </c>
      <c r="Y30" s="24">
        <f t="shared" si="16"/>
        <v>51.6</v>
      </c>
      <c r="Z30" s="24">
        <f t="shared" si="17"/>
        <v>53.2</v>
      </c>
      <c r="AA30" s="24">
        <f t="shared" si="18"/>
        <v>54.8</v>
      </c>
      <c r="AB30" s="24">
        <f t="shared" si="19"/>
        <v>56.4</v>
      </c>
      <c r="AC30" s="23">
        <v>58</v>
      </c>
      <c r="AD30" s="24">
        <f t="shared" si="20"/>
        <v>60.2</v>
      </c>
      <c r="AE30" s="24">
        <f t="shared" si="21"/>
        <v>62.4</v>
      </c>
      <c r="AF30" s="24">
        <f t="shared" si="22"/>
        <v>64.599999999999994</v>
      </c>
      <c r="AG30" s="24">
        <f t="shared" si="23"/>
        <v>66.8</v>
      </c>
      <c r="AH30" s="23">
        <v>69</v>
      </c>
      <c r="AI30" s="24">
        <f t="shared" si="24"/>
        <v>71.2</v>
      </c>
      <c r="AJ30" s="24">
        <f t="shared" si="25"/>
        <v>73.400000000000006</v>
      </c>
      <c r="AK30" s="24">
        <f t="shared" si="26"/>
        <v>75.599999999999994</v>
      </c>
      <c r="AL30" s="24">
        <f t="shared" si="27"/>
        <v>77.8</v>
      </c>
      <c r="AM30" s="23">
        <v>80</v>
      </c>
      <c r="AN30" s="24">
        <f t="shared" si="28"/>
        <v>82.4</v>
      </c>
      <c r="AO30" s="24">
        <f t="shared" si="29"/>
        <v>84.8</v>
      </c>
      <c r="AP30" s="24">
        <f t="shared" si="30"/>
        <v>87.2</v>
      </c>
      <c r="AQ30" s="24">
        <f t="shared" si="31"/>
        <v>89.6</v>
      </c>
      <c r="AR30" s="23">
        <v>92</v>
      </c>
      <c r="AS30" s="24">
        <f t="shared" si="32"/>
        <v>94.1</v>
      </c>
      <c r="AT30" s="24">
        <f t="shared" si="33"/>
        <v>96.2</v>
      </c>
      <c r="AU30" s="24">
        <f t="shared" si="34"/>
        <v>98.3</v>
      </c>
      <c r="AV30" s="24">
        <f t="shared" si="35"/>
        <v>100.4</v>
      </c>
      <c r="AW30" s="24">
        <f t="shared" si="36"/>
        <v>102.5</v>
      </c>
      <c r="AX30" s="24">
        <f t="shared" si="37"/>
        <v>104.6</v>
      </c>
      <c r="AY30" s="24">
        <f t="shared" si="38"/>
        <v>106.7</v>
      </c>
      <c r="AZ30" s="24">
        <f t="shared" si="39"/>
        <v>108.8</v>
      </c>
      <c r="BA30" s="24">
        <f t="shared" si="40"/>
        <v>110.9</v>
      </c>
      <c r="BB30" s="23">
        <v>113</v>
      </c>
      <c r="BC30" s="24">
        <f t="shared" si="41"/>
        <v>115.2</v>
      </c>
      <c r="BD30" s="24">
        <f t="shared" si="42"/>
        <v>117.4</v>
      </c>
      <c r="BE30" s="24">
        <f t="shared" si="43"/>
        <v>119.6</v>
      </c>
      <c r="BF30" s="24">
        <f t="shared" si="44"/>
        <v>121.8</v>
      </c>
      <c r="BG30" s="24">
        <f t="shared" si="45"/>
        <v>124</v>
      </c>
      <c r="BH30" s="24">
        <f t="shared" si="46"/>
        <v>126.2</v>
      </c>
      <c r="BI30" s="24">
        <f t="shared" si="47"/>
        <v>128.4</v>
      </c>
      <c r="BJ30" s="24">
        <f t="shared" si="48"/>
        <v>130.6</v>
      </c>
      <c r="BK30" s="24">
        <f t="shared" si="49"/>
        <v>132.80000000000001</v>
      </c>
      <c r="BL30" s="23">
        <v>135</v>
      </c>
      <c r="BM30" s="24">
        <f t="shared" si="50"/>
        <v>137.19999999999999</v>
      </c>
      <c r="BN30" s="24">
        <f t="shared" si="51"/>
        <v>139.4</v>
      </c>
      <c r="BO30" s="24">
        <f t="shared" si="52"/>
        <v>141.6</v>
      </c>
      <c r="BP30" s="24">
        <f t="shared" si="53"/>
        <v>143.80000000000001</v>
      </c>
      <c r="BQ30" s="24">
        <f t="shared" si="54"/>
        <v>146</v>
      </c>
      <c r="BR30" s="24">
        <f t="shared" si="55"/>
        <v>148.19999999999999</v>
      </c>
      <c r="BS30" s="24">
        <f t="shared" si="56"/>
        <v>150.4</v>
      </c>
      <c r="BT30" s="24">
        <f t="shared" si="57"/>
        <v>152.6</v>
      </c>
      <c r="BU30" s="24">
        <f t="shared" si="58"/>
        <v>154.80000000000001</v>
      </c>
      <c r="BV30" s="23">
        <v>157</v>
      </c>
      <c r="BW30" s="24">
        <f t="shared" si="59"/>
        <v>159.19999999999999</v>
      </c>
      <c r="BX30" s="24">
        <f t="shared" si="60"/>
        <v>161.4</v>
      </c>
      <c r="BY30" s="24">
        <f t="shared" si="61"/>
        <v>163.6</v>
      </c>
      <c r="BZ30" s="24">
        <f t="shared" si="62"/>
        <v>165.8</v>
      </c>
      <c r="CA30" s="23">
        <v>168</v>
      </c>
      <c r="CB30" s="24">
        <f t="shared" si="63"/>
        <v>170.2</v>
      </c>
      <c r="CC30" s="24">
        <f t="shared" si="64"/>
        <v>172.4</v>
      </c>
      <c r="CD30" s="24">
        <f t="shared" si="65"/>
        <v>174.6</v>
      </c>
      <c r="CE30" s="24">
        <f t="shared" si="66"/>
        <v>176.8</v>
      </c>
      <c r="CF30" s="23">
        <v>179</v>
      </c>
      <c r="CG30" s="24">
        <f t="shared" si="67"/>
        <v>181.2</v>
      </c>
      <c r="CH30" s="24">
        <f t="shared" si="68"/>
        <v>183.4</v>
      </c>
      <c r="CI30" s="24">
        <f t="shared" si="69"/>
        <v>185.6</v>
      </c>
      <c r="CJ30" s="24">
        <f t="shared" si="70"/>
        <v>187.8</v>
      </c>
      <c r="CK30" s="23">
        <v>190</v>
      </c>
      <c r="CL30" s="24">
        <f t="shared" si="71"/>
        <v>192.14285714285714</v>
      </c>
      <c r="CM30" s="24">
        <f t="shared" si="72"/>
        <v>194.28571428571428</v>
      </c>
      <c r="CN30" s="24">
        <f t="shared" si="73"/>
        <v>196.42857142857142</v>
      </c>
      <c r="CO30" s="24">
        <f t="shared" si="74"/>
        <v>198.57142857142858</v>
      </c>
      <c r="CP30" s="24">
        <f t="shared" si="75"/>
        <v>200.71428571428572</v>
      </c>
      <c r="CQ30" s="24">
        <f t="shared" si="76"/>
        <v>202.85714285714286</v>
      </c>
      <c r="CR30" s="24">
        <f t="shared" si="77"/>
        <v>205</v>
      </c>
      <c r="CS30" s="24">
        <f t="shared" si="78"/>
        <v>207.14285714285714</v>
      </c>
      <c r="CT30" s="24">
        <f t="shared" si="79"/>
        <v>209.28571428571428</v>
      </c>
      <c r="CU30" s="24">
        <f t="shared" si="80"/>
        <v>211.42857142857142</v>
      </c>
      <c r="CV30" s="24">
        <f t="shared" si="81"/>
        <v>213.57142857142856</v>
      </c>
      <c r="CW30" s="24">
        <f t="shared" si="82"/>
        <v>215.71428571428572</v>
      </c>
      <c r="CX30" s="24">
        <f t="shared" si="83"/>
        <v>217.85714285714286</v>
      </c>
      <c r="CY30" s="29">
        <v>220</v>
      </c>
    </row>
    <row r="31" spans="3:103" ht="16.5" thickTop="1" thickBot="1" x14ac:dyDescent="0.3">
      <c r="C31" s="20">
        <f>Inputs!F58</f>
        <v>6800</v>
      </c>
      <c r="D31" s="25">
        <v>0</v>
      </c>
      <c r="E31" s="26">
        <f t="shared" si="0"/>
        <v>4</v>
      </c>
      <c r="F31" s="26">
        <f t="shared" si="1"/>
        <v>8</v>
      </c>
      <c r="G31" s="26">
        <f t="shared" si="2"/>
        <v>12</v>
      </c>
      <c r="H31" s="26">
        <f t="shared" si="3"/>
        <v>16</v>
      </c>
      <c r="I31" s="25">
        <v>20</v>
      </c>
      <c r="J31" s="26">
        <f t="shared" si="4"/>
        <v>22</v>
      </c>
      <c r="K31" s="26">
        <f t="shared" si="5"/>
        <v>24</v>
      </c>
      <c r="L31" s="26">
        <f t="shared" si="6"/>
        <v>26</v>
      </c>
      <c r="M31" s="26">
        <f t="shared" si="7"/>
        <v>28</v>
      </c>
      <c r="N31" s="25">
        <v>30</v>
      </c>
      <c r="O31" s="26">
        <f t="shared" si="8"/>
        <v>33.6</v>
      </c>
      <c r="P31" s="26">
        <f t="shared" si="9"/>
        <v>37.200000000000003</v>
      </c>
      <c r="Q31" s="26">
        <f t="shared" si="10"/>
        <v>40.799999999999997</v>
      </c>
      <c r="R31" s="26">
        <f t="shared" si="11"/>
        <v>44.4</v>
      </c>
      <c r="S31" s="25">
        <v>48</v>
      </c>
      <c r="T31" s="26">
        <f t="shared" si="12"/>
        <v>48.6</v>
      </c>
      <c r="U31" s="26">
        <f t="shared" si="13"/>
        <v>49.2</v>
      </c>
      <c r="V31" s="26">
        <f t="shared" si="14"/>
        <v>49.8</v>
      </c>
      <c r="W31" s="26">
        <f t="shared" si="15"/>
        <v>50.4</v>
      </c>
      <c r="X31" s="25">
        <v>51</v>
      </c>
      <c r="Y31" s="26">
        <f t="shared" si="16"/>
        <v>52.6</v>
      </c>
      <c r="Z31" s="26">
        <f t="shared" si="17"/>
        <v>54.2</v>
      </c>
      <c r="AA31" s="26">
        <f t="shared" si="18"/>
        <v>55.8</v>
      </c>
      <c r="AB31" s="26">
        <f t="shared" si="19"/>
        <v>57.4</v>
      </c>
      <c r="AC31" s="25">
        <v>59</v>
      </c>
      <c r="AD31" s="26">
        <f t="shared" si="20"/>
        <v>61.4</v>
      </c>
      <c r="AE31" s="26">
        <f t="shared" si="21"/>
        <v>63.8</v>
      </c>
      <c r="AF31" s="26">
        <f t="shared" si="22"/>
        <v>66.2</v>
      </c>
      <c r="AG31" s="26">
        <f t="shared" si="23"/>
        <v>68.599999999999994</v>
      </c>
      <c r="AH31" s="25">
        <v>71</v>
      </c>
      <c r="AI31" s="26">
        <f t="shared" si="24"/>
        <v>73.2</v>
      </c>
      <c r="AJ31" s="26">
        <f t="shared" si="25"/>
        <v>75.400000000000006</v>
      </c>
      <c r="AK31" s="26">
        <f t="shared" si="26"/>
        <v>77.599999999999994</v>
      </c>
      <c r="AL31" s="26">
        <f t="shared" si="27"/>
        <v>79.8</v>
      </c>
      <c r="AM31" s="25">
        <v>82</v>
      </c>
      <c r="AN31" s="26">
        <f t="shared" si="28"/>
        <v>84.2</v>
      </c>
      <c r="AO31" s="26">
        <f t="shared" si="29"/>
        <v>86.4</v>
      </c>
      <c r="AP31" s="26">
        <f t="shared" si="30"/>
        <v>88.6</v>
      </c>
      <c r="AQ31" s="26">
        <f t="shared" si="31"/>
        <v>90.8</v>
      </c>
      <c r="AR31" s="25">
        <v>93</v>
      </c>
      <c r="AS31" s="26">
        <f t="shared" si="32"/>
        <v>95.1</v>
      </c>
      <c r="AT31" s="26">
        <f t="shared" si="33"/>
        <v>97.2</v>
      </c>
      <c r="AU31" s="26">
        <f t="shared" si="34"/>
        <v>99.3</v>
      </c>
      <c r="AV31" s="26">
        <f t="shared" si="35"/>
        <v>101.4</v>
      </c>
      <c r="AW31" s="26">
        <f t="shared" si="36"/>
        <v>103.5</v>
      </c>
      <c r="AX31" s="26">
        <f t="shared" si="37"/>
        <v>105.6</v>
      </c>
      <c r="AY31" s="26">
        <f t="shared" si="38"/>
        <v>107.7</v>
      </c>
      <c r="AZ31" s="26">
        <f t="shared" si="39"/>
        <v>109.8</v>
      </c>
      <c r="BA31" s="26">
        <f t="shared" si="40"/>
        <v>111.9</v>
      </c>
      <c r="BB31" s="25">
        <v>114</v>
      </c>
      <c r="BC31" s="26">
        <f t="shared" si="41"/>
        <v>116.2</v>
      </c>
      <c r="BD31" s="26">
        <f t="shared" si="42"/>
        <v>118.4</v>
      </c>
      <c r="BE31" s="26">
        <f t="shared" si="43"/>
        <v>120.6</v>
      </c>
      <c r="BF31" s="26">
        <f t="shared" si="44"/>
        <v>122.8</v>
      </c>
      <c r="BG31" s="26">
        <f t="shared" si="45"/>
        <v>125</v>
      </c>
      <c r="BH31" s="26">
        <f t="shared" si="46"/>
        <v>127.2</v>
      </c>
      <c r="BI31" s="26">
        <f t="shared" si="47"/>
        <v>129.4</v>
      </c>
      <c r="BJ31" s="26">
        <f t="shared" si="48"/>
        <v>131.6</v>
      </c>
      <c r="BK31" s="26">
        <f t="shared" si="49"/>
        <v>133.80000000000001</v>
      </c>
      <c r="BL31" s="25">
        <v>136</v>
      </c>
      <c r="BM31" s="26">
        <f t="shared" si="50"/>
        <v>138.19999999999999</v>
      </c>
      <c r="BN31" s="26">
        <f t="shared" si="51"/>
        <v>140.4</v>
      </c>
      <c r="BO31" s="26">
        <f t="shared" si="52"/>
        <v>142.6</v>
      </c>
      <c r="BP31" s="26">
        <f t="shared" si="53"/>
        <v>144.80000000000001</v>
      </c>
      <c r="BQ31" s="26">
        <f t="shared" si="54"/>
        <v>147</v>
      </c>
      <c r="BR31" s="26">
        <f t="shared" si="55"/>
        <v>149.19999999999999</v>
      </c>
      <c r="BS31" s="26">
        <f t="shared" si="56"/>
        <v>151.4</v>
      </c>
      <c r="BT31" s="26">
        <f t="shared" si="57"/>
        <v>153.6</v>
      </c>
      <c r="BU31" s="26">
        <f t="shared" si="58"/>
        <v>155.80000000000001</v>
      </c>
      <c r="BV31" s="25">
        <v>158</v>
      </c>
      <c r="BW31" s="26">
        <f t="shared" si="59"/>
        <v>160.19999999999999</v>
      </c>
      <c r="BX31" s="26">
        <f t="shared" si="60"/>
        <v>162.4</v>
      </c>
      <c r="BY31" s="26">
        <f t="shared" si="61"/>
        <v>164.6</v>
      </c>
      <c r="BZ31" s="26">
        <f t="shared" si="62"/>
        <v>166.8</v>
      </c>
      <c r="CA31" s="25">
        <v>169</v>
      </c>
      <c r="CB31" s="26">
        <f t="shared" si="63"/>
        <v>171.2</v>
      </c>
      <c r="CC31" s="26">
        <f t="shared" si="64"/>
        <v>173.4</v>
      </c>
      <c r="CD31" s="26">
        <f t="shared" si="65"/>
        <v>175.6</v>
      </c>
      <c r="CE31" s="26">
        <f t="shared" si="66"/>
        <v>177.8</v>
      </c>
      <c r="CF31" s="25">
        <v>180</v>
      </c>
      <c r="CG31" s="26">
        <f t="shared" si="67"/>
        <v>182.2</v>
      </c>
      <c r="CH31" s="26">
        <f t="shared" si="68"/>
        <v>184.4</v>
      </c>
      <c r="CI31" s="26">
        <f t="shared" si="69"/>
        <v>186.6</v>
      </c>
      <c r="CJ31" s="26">
        <f t="shared" si="70"/>
        <v>188.8</v>
      </c>
      <c r="CK31" s="25">
        <v>191</v>
      </c>
      <c r="CL31" s="26">
        <f t="shared" si="71"/>
        <v>193.14285714285714</v>
      </c>
      <c r="CM31" s="26">
        <f t="shared" si="72"/>
        <v>195.28571428571428</v>
      </c>
      <c r="CN31" s="26">
        <f t="shared" si="73"/>
        <v>197.42857142857142</v>
      </c>
      <c r="CO31" s="26">
        <f t="shared" si="74"/>
        <v>199.57142857142858</v>
      </c>
      <c r="CP31" s="26">
        <f t="shared" si="75"/>
        <v>201.71428571428572</v>
      </c>
      <c r="CQ31" s="26">
        <f t="shared" si="76"/>
        <v>203.85714285714286</v>
      </c>
      <c r="CR31" s="26">
        <f t="shared" si="77"/>
        <v>206</v>
      </c>
      <c r="CS31" s="26">
        <f t="shared" si="78"/>
        <v>208.14285714285714</v>
      </c>
      <c r="CT31" s="26">
        <f t="shared" si="79"/>
        <v>210.28571428571428</v>
      </c>
      <c r="CU31" s="26">
        <f t="shared" si="80"/>
        <v>212.42857142857142</v>
      </c>
      <c r="CV31" s="26">
        <f t="shared" si="81"/>
        <v>214.57142857142856</v>
      </c>
      <c r="CW31" s="26">
        <f t="shared" si="82"/>
        <v>216.71428571428572</v>
      </c>
      <c r="CX31" s="26">
        <f t="shared" si="83"/>
        <v>218.85714285714286</v>
      </c>
      <c r="CY31" s="30">
        <v>221</v>
      </c>
    </row>
    <row r="32" spans="3:103" ht="15.75" thickTop="1" x14ac:dyDescent="0.25"/>
    <row r="33" spans="2:19" x14ac:dyDescent="0.25">
      <c r="C33">
        <f>SUM(E15:I15)</f>
        <v>15</v>
      </c>
    </row>
    <row r="34" spans="2:19" x14ac:dyDescent="0.25">
      <c r="B34" t="s">
        <v>38</v>
      </c>
    </row>
    <row r="35" spans="2:19" ht="15.75" thickBot="1" x14ac:dyDescent="0.3">
      <c r="D35" s="46">
        <f>Inputs!G94</f>
        <v>1000</v>
      </c>
      <c r="E35" s="46">
        <f>Inputs!H94</f>
        <v>1720</v>
      </c>
      <c r="F35" s="46">
        <f>Inputs!I94</f>
        <v>2000</v>
      </c>
      <c r="G35" s="46">
        <f>Inputs!J94</f>
        <v>2100</v>
      </c>
      <c r="H35" s="46">
        <f>Inputs!K94</f>
        <v>2200</v>
      </c>
      <c r="I35" s="46">
        <f>Inputs!L94</f>
        <v>2520</v>
      </c>
      <c r="J35" s="46">
        <f>Inputs!M94</f>
        <v>3000</v>
      </c>
      <c r="K35" s="46">
        <f>Inputs!N94</f>
        <v>3520</v>
      </c>
      <c r="L35" s="46">
        <f>Inputs!O94</f>
        <v>4000</v>
      </c>
      <c r="M35" s="46">
        <f>Inputs!P94</f>
        <v>4520</v>
      </c>
      <c r="N35" s="46">
        <f>Inputs!Q94</f>
        <v>5000</v>
      </c>
      <c r="O35" s="46">
        <f>Inputs!R94</f>
        <v>5520</v>
      </c>
      <c r="P35" s="46">
        <f>Inputs!S94</f>
        <v>5900</v>
      </c>
      <c r="Q35" s="46">
        <f>Inputs!T94</f>
        <v>6000</v>
      </c>
      <c r="R35" s="46">
        <f>Inputs!U94</f>
        <v>6400</v>
      </c>
      <c r="S35" s="46">
        <f>Inputs!V94</f>
        <v>6800</v>
      </c>
    </row>
    <row r="36" spans="2:19" ht="15.75" thickTop="1" x14ac:dyDescent="0.25">
      <c r="C36" s="1">
        <f>Inputs!F20</f>
        <v>0</v>
      </c>
      <c r="D36" s="37">
        <v>0</v>
      </c>
      <c r="E36" s="38">
        <v>0</v>
      </c>
      <c r="F36" s="38">
        <v>0</v>
      </c>
      <c r="G36" s="38">
        <v>0</v>
      </c>
      <c r="H36" s="38">
        <v>0</v>
      </c>
      <c r="I36" s="38">
        <v>0</v>
      </c>
      <c r="J36" s="38">
        <v>0</v>
      </c>
      <c r="K36" s="38">
        <v>0</v>
      </c>
      <c r="L36" s="38">
        <v>0</v>
      </c>
      <c r="M36" s="38">
        <v>0</v>
      </c>
      <c r="N36" s="38">
        <v>0</v>
      </c>
      <c r="O36" s="38">
        <v>0</v>
      </c>
      <c r="P36" s="38">
        <v>0</v>
      </c>
      <c r="Q36" s="38">
        <v>0</v>
      </c>
      <c r="R36" s="38">
        <v>0</v>
      </c>
      <c r="S36" s="39">
        <v>0</v>
      </c>
    </row>
    <row r="37" spans="2:19" x14ac:dyDescent="0.25">
      <c r="C37" s="1">
        <f>Inputs!F21</f>
        <v>5</v>
      </c>
      <c r="D37" s="40">
        <v>12.370017647058825</v>
      </c>
      <c r="E37" s="41">
        <v>13.534723529411767</v>
      </c>
      <c r="F37" s="41">
        <v>13.858252941176472</v>
      </c>
      <c r="G37" s="41">
        <v>14</v>
      </c>
      <c r="H37" s="41">
        <v>14</v>
      </c>
      <c r="I37" s="41">
        <v>14.311194117647061</v>
      </c>
      <c r="J37" s="41">
        <v>15.152370588235295</v>
      </c>
      <c r="K37" s="41">
        <v>15.928841176470591</v>
      </c>
      <c r="L37" s="41">
        <v>16.770017647058825</v>
      </c>
      <c r="M37" s="41">
        <v>17.54648823529412</v>
      </c>
      <c r="N37" s="41">
        <v>18.387664705882354</v>
      </c>
      <c r="O37" s="41">
        <v>19.164135294117649</v>
      </c>
      <c r="P37" s="41">
        <v>21.833333333333332</v>
      </c>
      <c r="Q37" s="41">
        <v>20.005311764705887</v>
      </c>
      <c r="R37" s="41">
        <v>20.5</v>
      </c>
      <c r="S37" s="42">
        <v>20.781782352941178</v>
      </c>
    </row>
    <row r="38" spans="2:19" x14ac:dyDescent="0.25">
      <c r="C38" s="1">
        <f>Inputs!F22</f>
        <v>10</v>
      </c>
      <c r="D38" s="40">
        <v>23.555917647058823</v>
      </c>
      <c r="E38" s="41">
        <v>24.720623529411764</v>
      </c>
      <c r="F38" s="41">
        <v>25.044152941176474</v>
      </c>
      <c r="G38" s="41">
        <v>25</v>
      </c>
      <c r="H38" s="41">
        <v>25</v>
      </c>
      <c r="I38" s="41">
        <v>25.497094117647059</v>
      </c>
      <c r="J38" s="41">
        <v>26.338270588235297</v>
      </c>
      <c r="K38" s="41">
        <v>27.114741176470591</v>
      </c>
      <c r="L38" s="41">
        <v>27.955917647058826</v>
      </c>
      <c r="M38" s="41">
        <v>28.73238823529412</v>
      </c>
      <c r="N38" s="41">
        <v>29.573564705882355</v>
      </c>
      <c r="O38" s="41">
        <v>30.350035294117646</v>
      </c>
      <c r="P38" s="41">
        <v>32.833333333333336</v>
      </c>
      <c r="Q38" s="41">
        <v>31.191211764705884</v>
      </c>
      <c r="R38" s="41">
        <v>31.5</v>
      </c>
      <c r="S38" s="42">
        <v>31.967682352941178</v>
      </c>
    </row>
    <row r="39" spans="2:19" x14ac:dyDescent="0.25">
      <c r="C39" s="1">
        <f>Inputs!F23</f>
        <v>15</v>
      </c>
      <c r="D39" s="40">
        <v>34.741817647058824</v>
      </c>
      <c r="E39" s="41">
        <v>35.906523529411764</v>
      </c>
      <c r="F39" s="41">
        <v>36.230052941176474</v>
      </c>
      <c r="G39" s="41">
        <v>37.92307692307692</v>
      </c>
      <c r="H39" s="41">
        <v>37.92307692307692</v>
      </c>
      <c r="I39" s="41">
        <v>36.682994117647056</v>
      </c>
      <c r="J39" s="41">
        <v>37.524170588235293</v>
      </c>
      <c r="K39" s="41">
        <v>38.300641176470592</v>
      </c>
      <c r="L39" s="41">
        <v>39.141817647058829</v>
      </c>
      <c r="M39" s="41">
        <v>39.918288235294121</v>
      </c>
      <c r="N39" s="41">
        <v>40.759464705882351</v>
      </c>
      <c r="O39" s="41">
        <v>41.535935294117643</v>
      </c>
      <c r="P39" s="41">
        <v>43.833333333333336</v>
      </c>
      <c r="Q39" s="41">
        <v>42.37711176470588</v>
      </c>
      <c r="R39" s="41">
        <v>42.5</v>
      </c>
      <c r="S39" s="42">
        <v>43.153582352941179</v>
      </c>
    </row>
    <row r="40" spans="2:19" x14ac:dyDescent="0.25">
      <c r="C40" s="1">
        <f>Inputs!F24</f>
        <v>20</v>
      </c>
      <c r="D40" s="40">
        <v>45.927717647058834</v>
      </c>
      <c r="E40" s="41">
        <v>47.092423529411768</v>
      </c>
      <c r="F40" s="41">
        <v>47.415952941176478</v>
      </c>
      <c r="G40" s="41">
        <v>48.92307692307692</v>
      </c>
      <c r="H40" s="41">
        <v>48.92307692307692</v>
      </c>
      <c r="I40" s="41">
        <v>47.868894117647066</v>
      </c>
      <c r="J40" s="41">
        <v>48.710070588235297</v>
      </c>
      <c r="K40" s="41">
        <v>49.486541176470595</v>
      </c>
      <c r="L40" s="41">
        <v>50.327717647058833</v>
      </c>
      <c r="M40" s="41">
        <v>51.104188235294124</v>
      </c>
      <c r="N40" s="41">
        <v>51.945364705882362</v>
      </c>
      <c r="O40" s="41">
        <v>52.721835294117653</v>
      </c>
      <c r="P40" s="41">
        <v>54</v>
      </c>
      <c r="Q40" s="41">
        <v>53.563011764705884</v>
      </c>
      <c r="R40" s="41">
        <v>54</v>
      </c>
      <c r="S40" s="42">
        <v>54.339482352941175</v>
      </c>
    </row>
    <row r="41" spans="2:19" x14ac:dyDescent="0.25">
      <c r="C41" s="1">
        <f>Inputs!F25</f>
        <v>25</v>
      </c>
      <c r="D41" s="40">
        <v>57.113617647058831</v>
      </c>
      <c r="E41" s="41">
        <v>58.278323529411765</v>
      </c>
      <c r="F41" s="41">
        <v>58.601852941176475</v>
      </c>
      <c r="G41" s="41">
        <v>59</v>
      </c>
      <c r="H41" s="41">
        <v>59</v>
      </c>
      <c r="I41" s="41">
        <v>59.054794117647063</v>
      </c>
      <c r="J41" s="41">
        <v>59.895970588235294</v>
      </c>
      <c r="K41" s="41">
        <v>60.672441176470592</v>
      </c>
      <c r="L41" s="41">
        <v>61.51361764705883</v>
      </c>
      <c r="M41" s="41">
        <v>62.290088235294121</v>
      </c>
      <c r="N41" s="41">
        <v>63.131264705882359</v>
      </c>
      <c r="O41" s="41">
        <v>63.90773529411765</v>
      </c>
      <c r="P41" s="41">
        <v>66.833333333333329</v>
      </c>
      <c r="Q41" s="41">
        <v>64.748911764705881</v>
      </c>
      <c r="R41" s="41">
        <v>65.5</v>
      </c>
      <c r="S41" s="42">
        <v>65.525382352941179</v>
      </c>
    </row>
    <row r="42" spans="2:19" x14ac:dyDescent="0.25">
      <c r="C42" s="1">
        <f>Inputs!F26</f>
        <v>30</v>
      </c>
      <c r="D42" s="40">
        <v>68.299517647058821</v>
      </c>
      <c r="E42" s="41">
        <v>69.464223529411768</v>
      </c>
      <c r="F42" s="41">
        <v>69.787752941176478</v>
      </c>
      <c r="G42" s="41">
        <v>70</v>
      </c>
      <c r="H42" s="41">
        <v>70</v>
      </c>
      <c r="I42" s="41">
        <v>70.240694117647067</v>
      </c>
      <c r="J42" s="41">
        <v>71.081870588235304</v>
      </c>
      <c r="K42" s="41">
        <v>71.858341176470589</v>
      </c>
      <c r="L42" s="41">
        <v>72.699517647058826</v>
      </c>
      <c r="M42" s="41">
        <v>73.475988235294125</v>
      </c>
      <c r="N42" s="41">
        <v>74.317164705882348</v>
      </c>
      <c r="O42" s="41">
        <v>75.093635294117647</v>
      </c>
      <c r="P42" s="41">
        <v>77.833333333333329</v>
      </c>
      <c r="Q42" s="41">
        <v>75.934811764705884</v>
      </c>
      <c r="R42" s="41">
        <v>76.5</v>
      </c>
      <c r="S42" s="42">
        <v>76.711282352941168</v>
      </c>
    </row>
    <row r="43" spans="2:19" x14ac:dyDescent="0.25">
      <c r="C43" s="1">
        <f>Inputs!F27</f>
        <v>35</v>
      </c>
      <c r="D43" s="40">
        <v>79.485417647058824</v>
      </c>
      <c r="E43" s="41">
        <v>80.650123529411772</v>
      </c>
      <c r="F43" s="41">
        <v>80.973652941176482</v>
      </c>
      <c r="G43" s="41">
        <v>81</v>
      </c>
      <c r="H43" s="41">
        <v>81</v>
      </c>
      <c r="I43" s="41">
        <v>81.426594117647056</v>
      </c>
      <c r="J43" s="41">
        <v>82.267770588235294</v>
      </c>
      <c r="K43" s="41">
        <v>83.044241176470592</v>
      </c>
      <c r="L43" s="41">
        <v>83.88541764705883</v>
      </c>
      <c r="M43" s="41">
        <v>84.661888235294114</v>
      </c>
      <c r="N43" s="41">
        <v>85.503064705882352</v>
      </c>
      <c r="O43" s="41">
        <v>86.279535294117665</v>
      </c>
      <c r="P43" s="41">
        <v>88.833333333333329</v>
      </c>
      <c r="Q43" s="41">
        <v>87.120711764705888</v>
      </c>
      <c r="R43" s="41">
        <v>87.5</v>
      </c>
      <c r="S43" s="42">
        <v>87.897182352941186</v>
      </c>
    </row>
    <row r="44" spans="2:19" x14ac:dyDescent="0.25">
      <c r="C44" s="1">
        <f>Inputs!F28</f>
        <v>40</v>
      </c>
      <c r="D44" s="40">
        <v>90.671317647058842</v>
      </c>
      <c r="E44" s="41">
        <v>91.836023529411776</v>
      </c>
      <c r="F44" s="41">
        <v>92.159552941176486</v>
      </c>
      <c r="G44" s="41">
        <v>93.92307692307692</v>
      </c>
      <c r="H44" s="41">
        <v>93.92307692307692</v>
      </c>
      <c r="I44" s="41">
        <v>92.612494117647074</v>
      </c>
      <c r="J44" s="41">
        <v>93.453670588235312</v>
      </c>
      <c r="K44" s="41">
        <v>94.230141176470596</v>
      </c>
      <c r="L44" s="41">
        <v>95.071317647058834</v>
      </c>
      <c r="M44" s="41">
        <v>95.847788235294132</v>
      </c>
      <c r="N44" s="41">
        <v>96.68896470588237</v>
      </c>
      <c r="O44" s="41">
        <v>97.465435294117668</v>
      </c>
      <c r="P44" s="41">
        <v>99.833333333333329</v>
      </c>
      <c r="Q44" s="41">
        <v>98.306611764705906</v>
      </c>
      <c r="R44" s="41">
        <v>98.5</v>
      </c>
      <c r="S44" s="42">
        <v>99.083082352941204</v>
      </c>
    </row>
    <row r="45" spans="2:19" x14ac:dyDescent="0.25">
      <c r="C45" s="1">
        <f>Inputs!F29</f>
        <v>50</v>
      </c>
      <c r="D45" s="40">
        <v>113.04311764705884</v>
      </c>
      <c r="E45" s="41">
        <v>114.20782352941178</v>
      </c>
      <c r="F45" s="41">
        <v>114.53135294117648</v>
      </c>
      <c r="G45" s="41">
        <v>115</v>
      </c>
      <c r="H45" s="41">
        <v>115</v>
      </c>
      <c r="I45" s="41">
        <v>114.98429411764707</v>
      </c>
      <c r="J45" s="41">
        <v>115.82547058823531</v>
      </c>
      <c r="K45" s="41">
        <v>116.60194117647059</v>
      </c>
      <c r="L45" s="41">
        <v>117.44311764705883</v>
      </c>
      <c r="M45" s="41">
        <v>118.21958823529413</v>
      </c>
      <c r="N45" s="41">
        <v>119.06076470588236</v>
      </c>
      <c r="O45" s="41">
        <v>119.83723529411766</v>
      </c>
      <c r="P45" s="41">
        <v>121</v>
      </c>
      <c r="Q45" s="41">
        <v>120.6784117647059</v>
      </c>
      <c r="R45" s="41">
        <v>121</v>
      </c>
      <c r="S45" s="42">
        <v>121.4548823529412</v>
      </c>
    </row>
    <row r="46" spans="2:19" x14ac:dyDescent="0.25">
      <c r="C46" s="1">
        <f>Inputs!F30</f>
        <v>60</v>
      </c>
      <c r="D46" s="40">
        <v>135.41491764705881</v>
      </c>
      <c r="E46" s="41">
        <v>136.57962352941178</v>
      </c>
      <c r="F46" s="41">
        <v>136.90315294117647</v>
      </c>
      <c r="G46" s="41">
        <v>137</v>
      </c>
      <c r="H46" s="41">
        <v>137</v>
      </c>
      <c r="I46" s="41">
        <v>137.35609411764707</v>
      </c>
      <c r="J46" s="41">
        <v>138.19727058823531</v>
      </c>
      <c r="K46" s="41">
        <v>138.97374117647058</v>
      </c>
      <c r="L46" s="41">
        <v>139.81491764705882</v>
      </c>
      <c r="M46" s="41">
        <v>140.59138823529412</v>
      </c>
      <c r="N46" s="41">
        <v>141.43256470588238</v>
      </c>
      <c r="O46" s="41">
        <v>142.20903529411765</v>
      </c>
      <c r="P46" s="41">
        <v>144.83333333333334</v>
      </c>
      <c r="Q46" s="41">
        <v>143.05021176470589</v>
      </c>
      <c r="R46" s="41">
        <v>143.5</v>
      </c>
      <c r="S46" s="42">
        <v>143.82668235294116</v>
      </c>
    </row>
    <row r="47" spans="2:19" x14ac:dyDescent="0.25">
      <c r="C47" s="1">
        <f>Inputs!F31</f>
        <v>70</v>
      </c>
      <c r="D47" s="40">
        <v>157.78671764705885</v>
      </c>
      <c r="E47" s="41">
        <v>158.95142352941178</v>
      </c>
      <c r="F47" s="41">
        <v>159.27495294117648</v>
      </c>
      <c r="G47" s="41">
        <v>160.92307692307693</v>
      </c>
      <c r="H47" s="41">
        <v>160.92307692307693</v>
      </c>
      <c r="I47" s="41">
        <v>159.72789411764705</v>
      </c>
      <c r="J47" s="41">
        <v>160.56907058823532</v>
      </c>
      <c r="K47" s="41">
        <v>161.34554117647059</v>
      </c>
      <c r="L47" s="41">
        <v>162.18671764705883</v>
      </c>
      <c r="M47" s="41">
        <v>162.96318823529413</v>
      </c>
      <c r="N47" s="41">
        <v>163.80436470588236</v>
      </c>
      <c r="O47" s="41">
        <v>164.58083529411763</v>
      </c>
      <c r="P47" s="41">
        <v>166.83333333333334</v>
      </c>
      <c r="Q47" s="41">
        <v>165.4220117647059</v>
      </c>
      <c r="R47" s="41">
        <v>165.5</v>
      </c>
      <c r="S47" s="42">
        <v>166.19848235294117</v>
      </c>
    </row>
    <row r="48" spans="2:19" x14ac:dyDescent="0.25">
      <c r="C48" s="1">
        <f>Inputs!F32</f>
        <v>75</v>
      </c>
      <c r="D48" s="40">
        <v>168.97261764705885</v>
      </c>
      <c r="E48" s="41">
        <v>170.13732352941179</v>
      </c>
      <c r="F48" s="41">
        <v>170.46085294117648</v>
      </c>
      <c r="G48" s="41">
        <v>171.92307692307693</v>
      </c>
      <c r="H48" s="41">
        <v>171.92307692307693</v>
      </c>
      <c r="I48" s="41">
        <v>170.91379411764706</v>
      </c>
      <c r="J48" s="41">
        <v>171.75497058823532</v>
      </c>
      <c r="K48" s="41">
        <v>172.53144117647059</v>
      </c>
      <c r="L48" s="41">
        <v>173.37261764705886</v>
      </c>
      <c r="M48" s="41">
        <v>174.14908823529413</v>
      </c>
      <c r="N48" s="41">
        <v>174.99026470588237</v>
      </c>
      <c r="O48" s="41">
        <v>175.76673529411767</v>
      </c>
      <c r="P48" s="41">
        <v>177</v>
      </c>
      <c r="Q48" s="41">
        <v>176.6079117647059</v>
      </c>
      <c r="R48" s="41">
        <v>177</v>
      </c>
      <c r="S48" s="42">
        <v>177.38438235294117</v>
      </c>
    </row>
    <row r="49" spans="3:19" x14ac:dyDescent="0.25">
      <c r="C49" s="1">
        <f>Inputs!F33</f>
        <v>80</v>
      </c>
      <c r="D49" s="40">
        <v>180.15851764705886</v>
      </c>
      <c r="E49" s="41">
        <v>181.32322352941182</v>
      </c>
      <c r="F49" s="41">
        <v>181.64675294117652</v>
      </c>
      <c r="G49" s="41">
        <v>182</v>
      </c>
      <c r="H49" s="41">
        <v>182</v>
      </c>
      <c r="I49" s="41">
        <v>182.09969411764709</v>
      </c>
      <c r="J49" s="41">
        <v>182.94087058823533</v>
      </c>
      <c r="K49" s="41">
        <v>183.71734117647063</v>
      </c>
      <c r="L49" s="41">
        <v>184.55851764705886</v>
      </c>
      <c r="M49" s="41">
        <v>185.33498823529413</v>
      </c>
      <c r="N49" s="41">
        <v>186.1761647058824</v>
      </c>
      <c r="O49" s="41">
        <v>186.95263529411767</v>
      </c>
      <c r="P49" s="41">
        <v>189.83333333333334</v>
      </c>
      <c r="Q49" s="41">
        <v>187.79381176470591</v>
      </c>
      <c r="R49" s="41">
        <v>188.5</v>
      </c>
      <c r="S49" s="42">
        <v>188.57028235294121</v>
      </c>
    </row>
    <row r="50" spans="3:19" x14ac:dyDescent="0.25">
      <c r="C50" s="1">
        <f>Inputs!F34</f>
        <v>85</v>
      </c>
      <c r="D50" s="40">
        <v>191.34441764705883</v>
      </c>
      <c r="E50" s="41">
        <v>192.5091235294118</v>
      </c>
      <c r="F50" s="41">
        <v>192.83265294117649</v>
      </c>
      <c r="G50" s="41">
        <v>193</v>
      </c>
      <c r="H50" s="41">
        <v>193</v>
      </c>
      <c r="I50" s="41">
        <v>193.28559411764707</v>
      </c>
      <c r="J50" s="41">
        <v>194.12677058823533</v>
      </c>
      <c r="K50" s="41">
        <v>194.9032411764706</v>
      </c>
      <c r="L50" s="41">
        <v>195.74441764705884</v>
      </c>
      <c r="M50" s="41">
        <v>196.52088823529411</v>
      </c>
      <c r="N50" s="41">
        <v>197.36206470588237</v>
      </c>
      <c r="O50" s="41">
        <v>198.13853529411764</v>
      </c>
      <c r="P50" s="41">
        <v>200.83333333333334</v>
      </c>
      <c r="Q50" s="41">
        <v>198.97971176470591</v>
      </c>
      <c r="R50" s="41">
        <v>199.5</v>
      </c>
      <c r="S50" s="42">
        <v>199.75618235294118</v>
      </c>
    </row>
    <row r="51" spans="3:19" ht="15.75" thickBot="1" x14ac:dyDescent="0.3">
      <c r="C51" s="1">
        <f>Inputs!F35</f>
        <v>100</v>
      </c>
      <c r="D51" s="43">
        <v>224.90211764705884</v>
      </c>
      <c r="E51" s="44">
        <v>226.06682352941181</v>
      </c>
      <c r="F51" s="44">
        <v>226.3903529411765</v>
      </c>
      <c r="G51" s="44">
        <v>227.92307692307693</v>
      </c>
      <c r="H51" s="44">
        <v>227.92307692307693</v>
      </c>
      <c r="I51" s="44">
        <v>226.84329411764708</v>
      </c>
      <c r="J51" s="44">
        <v>227.68447058823531</v>
      </c>
      <c r="K51" s="44">
        <v>228.46094117647061</v>
      </c>
      <c r="L51" s="44">
        <v>229.30211764705885</v>
      </c>
      <c r="M51" s="44">
        <v>230.07858823529412</v>
      </c>
      <c r="N51" s="44">
        <v>230.91976470588239</v>
      </c>
      <c r="O51" s="44">
        <v>231.69623529411766</v>
      </c>
      <c r="P51" s="44">
        <v>233</v>
      </c>
      <c r="Q51" s="44">
        <v>232.53741176470592</v>
      </c>
      <c r="R51" s="44">
        <v>233</v>
      </c>
      <c r="S51" s="45">
        <v>233.31388235294119</v>
      </c>
    </row>
    <row r="52" spans="3:19" ht="15.75" thickTop="1" x14ac:dyDescent="0.25"/>
    <row r="53" spans="3:19" x14ac:dyDescent="0.25">
      <c r="C53" t="s">
        <v>45</v>
      </c>
    </row>
    <row r="54" spans="3:19" x14ac:dyDescent="0.25">
      <c r="C54" t="s">
        <v>46</v>
      </c>
    </row>
  </sheetData>
  <sheetProtection password="FD37" sheet="1" objects="1" scenarios="1"/>
  <conditionalFormatting sqref="E16:H31 J16:M31 O16:R31 T16:W31 Y16:AB31 AD16:AG31 AI16:AL31 AN16:AQ31 AS16:BA31 BC16:BK31 BM16:BU31 BW16:BZ31 CB16:CE31 CG16:CJ31 CL16:CX31">
    <cfRule type="colorScale" priority="3">
      <colorScale>
        <cfvo type="formula" val="0"/>
        <cfvo type="formula" val="MAX($D$4:$S$20)/2"/>
        <cfvo type="formula" val="MAX($D$4:$S$20)"/>
        <color rgb="FF9BBB59"/>
        <color rgb="FFFDE9D9"/>
        <color rgb="FFF9B277"/>
      </colorScale>
    </cfRule>
  </conditionalFormatting>
  <conditionalFormatting sqref="D36:S51">
    <cfRule type="colorScale" priority="1">
      <colorScale>
        <cfvo type="num" val="0"/>
        <cfvo type="formula" val="MAX($D$5:$O$20)/2"/>
        <cfvo type="formula" val="MAX($D$5:$O$20)"/>
        <color rgb="FF63BE7B"/>
        <color rgb="FFFFEB84"/>
        <color rgb="FFF8696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S31"/>
  <sheetViews>
    <sheetView topLeftCell="B6" workbookViewId="0">
      <selection activeCell="E31" sqref="E31:S31"/>
    </sheetView>
  </sheetViews>
  <sheetFormatPr defaultRowHeight="15" x14ac:dyDescent="0.25"/>
  <cols>
    <col min="3" max="3" width="4" bestFit="1" customWidth="1"/>
  </cols>
  <sheetData>
    <row r="3" spans="2:19" x14ac:dyDescent="0.25">
      <c r="B3" t="s">
        <v>4</v>
      </c>
      <c r="D3" s="1">
        <f>(50.2624*Inputs!F6/Inputs!F7*0.001)/(Inputs!F8*SQRT(Inputs!F9/3)*0.684)</f>
        <v>8.4762497348725874E-2</v>
      </c>
      <c r="G3" s="78">
        <v>1.1000000000000001</v>
      </c>
    </row>
    <row r="5" spans="2:19" x14ac:dyDescent="0.25">
      <c r="B5" t="s">
        <v>16</v>
      </c>
      <c r="D5" s="1">
        <f>Inputs!G19</f>
        <v>600</v>
      </c>
      <c r="E5" s="1">
        <f>Inputs!H19</f>
        <v>800</v>
      </c>
      <c r="F5" s="1">
        <f>Inputs!I19</f>
        <v>1000</v>
      </c>
      <c r="G5" s="1">
        <f>Inputs!J19</f>
        <v>1240</v>
      </c>
      <c r="H5" s="1">
        <f>Inputs!K19</f>
        <v>1520</v>
      </c>
      <c r="I5" s="1">
        <f>Inputs!L19</f>
        <v>1720</v>
      </c>
      <c r="J5" s="1">
        <f>Inputs!M19</f>
        <v>2000</v>
      </c>
      <c r="K5" s="1">
        <f>Inputs!N19</f>
        <v>2520</v>
      </c>
      <c r="L5" s="1">
        <f>Inputs!O19</f>
        <v>3000</v>
      </c>
      <c r="M5" s="1">
        <f>Inputs!P19</f>
        <v>3520</v>
      </c>
      <c r="N5" s="1">
        <f>Inputs!Q19</f>
        <v>4000</v>
      </c>
      <c r="O5" s="1">
        <f>Inputs!R19</f>
        <v>4520</v>
      </c>
      <c r="P5" s="1">
        <f>Inputs!S19</f>
        <v>5000</v>
      </c>
      <c r="Q5" s="1">
        <f>Inputs!T19</f>
        <v>5520</v>
      </c>
      <c r="R5" s="1">
        <f>Inputs!U19</f>
        <v>6000</v>
      </c>
      <c r="S5" s="1">
        <f>Inputs!V19</f>
        <v>6800</v>
      </c>
    </row>
    <row r="6" spans="2:19" x14ac:dyDescent="0.25">
      <c r="B6" s="2"/>
      <c r="C6" s="1">
        <f>Inputs!F20</f>
        <v>0</v>
      </c>
      <c r="D6" s="2">
        <f>IF($C6=0,0,((Weights!$D$6*($C6/100)-(0.1)+D$5/$S$5*10)+(Weights!$D$6*($C6/100)-(0.1)+D$5/$S$5*10)*((Inputs!$F$16/100)*Weights!$H$7)+(Weights!$D$6*($C6/100)-(0.1)+D$5/$S$5*10)*Weights!G$6)*$G$3)</f>
        <v>0</v>
      </c>
      <c r="E6" s="2">
        <f>IF($C6=0,0,((Weights!$D$6*($C6/100)-(0.1)+E$5/$S$5*10)+(Weights!$D$6*($C6/100)-(0.1)+E$5/$S$5*10)*((Inputs!$F$16/100)*Weights!$H$7)+(Weights!$D$6*($C6/100)-(0.1)+E$5/$S$5*10)*Weights!H$6)*$G$3)</f>
        <v>0</v>
      </c>
      <c r="F6" s="2">
        <f>IF($C6=0,0,((Weights!$D$6*($C6/100)-(0.1)+F$5/$S$5*10)+(Weights!$D$6*($C6/100)-(0.1)+F$5/$S$5*10)*((Inputs!$F$16/100)*Weights!$H$7)+(Weights!$D$6*($C6/100)-(0.1)+F$5/$S$5*10)*Weights!I$6)*$G$3)</f>
        <v>0</v>
      </c>
      <c r="G6" s="2">
        <f>IF($C6=0,0,((Weights!$D$6*($C6/100)-(0.1)+G$5/$S$5*10)+(Weights!$D$6*($C6/100)-(0.1)+G$5/$S$5*10)*((Inputs!$F$16/100)*Weights!$H$7)+(Weights!$D$6*($C6/100)-(0.1)+G$5/$S$5*10)*Weights!J$6)*$G$3)</f>
        <v>0</v>
      </c>
      <c r="H6" s="2">
        <f>IF($C6=0,0,((Weights!$D$6*($C6/100)-(0.1)+H$5/$S$5*10)+(Weights!$D$6*($C6/100)-(0.1)+H$5/$S$5*10)*((Inputs!$F$16/100)*Weights!$H$7)+(Weights!$D$6*($C6/100)-(0.1)+H$5/$S$5*10)*Weights!K$6)*$G$3)</f>
        <v>0</v>
      </c>
      <c r="I6" s="2">
        <f>IF($C6=0,0,((Weights!$D$6*($C6/100)-(0.1)+I$5/$S$5*10)+(Weights!$D$6*($C6/100)-(0.1)+I$5/$S$5*10)*((Inputs!$F$16/100)*Weights!$H$7)+(Weights!$D$6*($C6/100)-(0.1)+I$5/$S$5*10)*Weights!L$6)*$G$3)</f>
        <v>0</v>
      </c>
      <c r="J6" s="2">
        <f>IF($C6=0,0,((Weights!$D$6*($C6/100)-(0.1)+J$5/$S$5*10)+(Weights!$D$6*($C6/100)-(0.1)+J$5/$S$5*10)*((Inputs!$F$16/100)*Weights!$H$7)+(Weights!$D$6*($C6/100)-(0.1)+J$5/$S$5*10)*Weights!M$6)*$G$3)</f>
        <v>0</v>
      </c>
      <c r="K6" s="2">
        <f>IF($C6=0,0,((Weights!$D$6*($C6/100)-(0.1)+K$5/$S$5*10)+(Weights!$D$6*($C6/100)-(0.1)+K$5/$S$5*10)*((Inputs!$F$16/100)*Weights!$H$7)+(Weights!$D$6*($C6/100)-(0.1)+K$5/$S$5*10)*Weights!N$6)*$G$3)</f>
        <v>0</v>
      </c>
      <c r="L6" s="2">
        <f>IF($C6=0,0,((Weights!$D$6*($C6/100)-(0.1)+L$5/$S$5*10)+(Weights!$D$6*($C6/100)-(0.1)+L$5/$S$5*10)*((Inputs!$F$16/100)*Weights!$H$7)+(Weights!$D$6*($C6/100)-(0.1)+L$5/$S$5*10)*Weights!O$6)*$G$3)</f>
        <v>0</v>
      </c>
      <c r="M6" s="2">
        <f>IF($C6=0,0,((Weights!$D$6*($C6/100)-(0.1)+M$5/$S$5*10)+(Weights!$D$6*($C6/100)-(0.1)+M$5/$S$5*10)*((Inputs!$F$16/100)*Weights!$H$7)+(Weights!$D$6*($C6/100)-(0.1)+M$5/$S$5*10)*Weights!P$6)*$G$3)</f>
        <v>0</v>
      </c>
      <c r="N6" s="2">
        <f>IF($C6=0,0,((Weights!$D$6*($C6/100)-(0.1)+N$5/$S$5*10)+(Weights!$D$6*($C6/100)-(0.1)+N$5/$S$5*10)*((Inputs!$F$16/100)*Weights!$H$7)+(Weights!$D$6*($C6/100)-(0.1)+N$5/$S$5*10)*Weights!Q$6)*$G$3)</f>
        <v>0</v>
      </c>
      <c r="O6" s="2">
        <f>IF($C6=0,0,((Weights!$D$6*($C6/100)-(0.1)+O$5/$S$5*10)+(Weights!$D$6*($C6/100)-(0.1)+O$5/$S$5*10)*((Inputs!$F$16/100)*Weights!$H$7)+(Weights!$D$6*($C6/100)-(0.1)+O$5/$S$5*10)*Weights!R$6)*$G$3)</f>
        <v>0</v>
      </c>
      <c r="P6" s="2">
        <f>IF($C6=0,0,((Weights!$D$6*($C6/100)-(0.1)+P$5/$S$5*10)+(Weights!$D$6*($C6/100)-(0.1)+P$5/$S$5*10)*((Inputs!$F$16/100)*Weights!$H$7)+(Weights!$D$6*($C6/100)-(0.1)+P$5/$S$5*10)*Weights!S$6)*$G$3)</f>
        <v>0</v>
      </c>
      <c r="Q6" s="2">
        <f>IF($C6=0,0,((Weights!$D$6*($C6/100)-(0.1)+Q$5/$S$5*10)+(Weights!$D$6*($C6/100)-(0.1)+Q$5/$S$5*10)*((Inputs!$F$16/100)*Weights!$H$7)+(Weights!$D$6*($C6/100)-(0.1)+Q$5/$S$5*10)*Weights!T$6)*$G$3)</f>
        <v>0</v>
      </c>
      <c r="R6" s="2">
        <f>IF($C6=0,0,((Weights!$D$6*($C6/100)-(0.1)+R$5/$S$5*10)+(Weights!$D$6*($C6/100)-(0.1)+R$5/$S$5*10)*((Inputs!$F$16/100)*Weights!$H$7)+(Weights!$D$6*($C6/100)-(0.1)+R$5/$S$5*10)*Weights!U$6)*$G$3)</f>
        <v>0</v>
      </c>
      <c r="S6" s="2">
        <f>IF($C6=0,0,((Weights!$D$6*($C6/100)-(0.1)+S$5/$S$5*10)+(Weights!$D$6*($C6/100)-(0.1)+S$5/$S$5*10)*((Inputs!$F$16/100)*Weights!$H$7)+(Weights!$D$6*($C6/100)-(0.1)+S$5/$S$5*10)*Weights!V$6)*$G$3)</f>
        <v>0</v>
      </c>
    </row>
    <row r="7" spans="2:19" x14ac:dyDescent="0.25">
      <c r="B7" s="2"/>
      <c r="C7" s="1">
        <f>Inputs!F21</f>
        <v>5</v>
      </c>
      <c r="D7" s="2">
        <f>IF($C7=0,0,((Weights!$D$6*($C7/100)-(0.1)+D$5/$S$5*10)+(Weights!$D$6*($C7/100)-(0.1)+D$5/$S$5*10)*((Inputs!$F$16/100)*Weights!$H$7)+(Weights!$D$6*($C7/100)-(0.1)+D$5/$S$5*10)*Weights!G$6)*$G$3)</f>
        <v>12.04648823529412</v>
      </c>
      <c r="E7" s="2">
        <f>IF($C7=0,0,((Weights!$D$6*($C7/100)-(0.1)+E$5/$S$5*10)+(Weights!$D$6*($C7/100)-(0.1)+E$5/$S$5*10)*((Inputs!$F$16/100)*Weights!$H$7)+(Weights!$D$6*($C7/100)-(0.1)+E$5/$S$5*10)*Weights!H$6)*$G$3)</f>
        <v>12.370017647058825</v>
      </c>
      <c r="F7" s="2">
        <f>IF($C7=0,0,((Weights!$D$6*($C7/100)-(0.1)+F$5/$S$5*10)+(Weights!$D$6*($C7/100)-(0.1)+F$5/$S$5*10)*((Inputs!$F$16/100)*Weights!$H$7)+(Weights!$D$6*($C7/100)-(0.1)+F$5/$S$5*10)*Weights!I$6)*$G$3)</f>
        <v>12.693547058823532</v>
      </c>
      <c r="G7" s="2">
        <f>IF($C7=0,0,((Weights!$D$6*($C7/100)-(0.1)+G$5/$S$5*10)+(Weights!$D$6*($C7/100)-(0.1)+G$5/$S$5*10)*((Inputs!$F$16/100)*Weights!$H$7)+(Weights!$D$6*($C7/100)-(0.1)+G$5/$S$5*10)*Weights!J$6)*$G$3)</f>
        <v>13.081782352941179</v>
      </c>
      <c r="H7" s="2">
        <f>IF($C7=0,0,((Weights!$D$6*($C7/100)-(0.1)+H$5/$S$5*10)+(Weights!$D$6*($C7/100)-(0.1)+H$5/$S$5*10)*((Inputs!$F$16/100)*Weights!$H$7)+(Weights!$D$6*($C7/100)-(0.1)+H$5/$S$5*10)*Weights!K$6)*$G$3)</f>
        <v>13.534723529411767</v>
      </c>
      <c r="I7" s="2">
        <f>IF($C7=0,0,((Weights!$D$6*($C7/100)-(0.1)+I$5/$S$5*10)+(Weights!$D$6*($C7/100)-(0.1)+I$5/$S$5*10)*((Inputs!$F$16/100)*Weights!$H$7)+(Weights!$D$6*($C7/100)-(0.1)+I$5/$S$5*10)*Weights!L$6)*$G$3)</f>
        <v>13.858252941176472</v>
      </c>
      <c r="J7" s="2">
        <f>IF($C7=0,0,((Weights!$D$6*($C7/100)-(0.1)+J$5/$S$5*10)+(Weights!$D$6*($C7/100)-(0.1)+J$5/$S$5*10)*((Inputs!$F$16/100)*Weights!$H$7)+(Weights!$D$6*($C7/100)-(0.1)+J$5/$S$5*10)*Weights!M$6)*$G$3)</f>
        <v>14.311194117647061</v>
      </c>
      <c r="K7" s="2">
        <f>IF($C7=0,0,((Weights!$D$6*($C7/100)-(0.1)+K$5/$S$5*10)+(Weights!$D$6*($C7/100)-(0.1)+K$5/$S$5*10)*((Inputs!$F$16/100)*Weights!$H$7)+(Weights!$D$6*($C7/100)-(0.1)+K$5/$S$5*10)*Weights!N$6)*$G$3)</f>
        <v>15.152370588235295</v>
      </c>
      <c r="L7" s="2">
        <f>IF($C7=0,0,((Weights!$D$6*($C7/100)-(0.1)+L$5/$S$5*10)+(Weights!$D$6*($C7/100)-(0.1)+L$5/$S$5*10)*((Inputs!$F$16/100)*Weights!$H$7)+(Weights!$D$6*($C7/100)-(0.1)+L$5/$S$5*10)*Weights!O$6)*$G$3)</f>
        <v>15.928841176470591</v>
      </c>
      <c r="M7" s="2">
        <f>IF($C7=0,0,((Weights!$D$6*($C7/100)-(0.1)+M$5/$S$5*10)+(Weights!$D$6*($C7/100)-(0.1)+M$5/$S$5*10)*((Inputs!$F$16/100)*Weights!$H$7)+(Weights!$D$6*($C7/100)-(0.1)+M$5/$S$5*10)*Weights!P$6)*$G$3)</f>
        <v>16.770017647058825</v>
      </c>
      <c r="N7" s="2">
        <f>IF($C7=0,0,((Weights!$D$6*($C7/100)-(0.1)+N$5/$S$5*10)+(Weights!$D$6*($C7/100)-(0.1)+N$5/$S$5*10)*((Inputs!$F$16/100)*Weights!$H$7)+(Weights!$D$6*($C7/100)-(0.1)+N$5/$S$5*10)*Weights!Q$6)*$G$3)</f>
        <v>17.54648823529412</v>
      </c>
      <c r="O7" s="2">
        <f>IF($C7=0,0,((Weights!$D$6*($C7/100)-(0.1)+O$5/$S$5*10)+(Weights!$D$6*($C7/100)-(0.1)+O$5/$S$5*10)*((Inputs!$F$16/100)*Weights!$H$7)+(Weights!$D$6*($C7/100)-(0.1)+O$5/$S$5*10)*Weights!R$6)*$G$3)</f>
        <v>18.387664705882354</v>
      </c>
      <c r="P7" s="2">
        <f>IF($C7=0,0,((Weights!$D$6*($C7/100)-(0.1)+P$5/$S$5*10)+(Weights!$D$6*($C7/100)-(0.1)+P$5/$S$5*10)*((Inputs!$F$16/100)*Weights!$H$7)+(Weights!$D$6*($C7/100)-(0.1)+P$5/$S$5*10)*Weights!S$6)*$G$3)</f>
        <v>19.164135294117649</v>
      </c>
      <c r="Q7" s="2">
        <f>IF($C7=0,0,((Weights!$D$6*($C7/100)-(0.1)+Q$5/$S$5*10)+(Weights!$D$6*($C7/100)-(0.1)+Q$5/$S$5*10)*((Inputs!$F$16/100)*Weights!$H$7)+(Weights!$D$6*($C7/100)-(0.1)+Q$5/$S$5*10)*Weights!T$6)*$G$3)</f>
        <v>20.005311764705887</v>
      </c>
      <c r="R7" s="2">
        <f>IF($C7=0,0,((Weights!$D$6*($C7/100)-(0.1)+R$5/$S$5*10)+(Weights!$D$6*($C7/100)-(0.1)+R$5/$S$5*10)*((Inputs!$F$16/100)*Weights!$H$7)+(Weights!$D$6*($C7/100)-(0.1)+R$5/$S$5*10)*Weights!U$6)*$G$3)</f>
        <v>20.781782352941178</v>
      </c>
      <c r="S7" s="2">
        <f>IF($C7=0,0,((Weights!$D$6*($C7/100)-(0.1)+S$5/$S$5*10)+(Weights!$D$6*($C7/100)-(0.1)+S$5/$S$5*10)*((Inputs!$F$16/100)*Weights!$H$7)+(Weights!$D$6*($C7/100)-(0.1)+S$5/$S$5*10)*Weights!V$6)*$G$3)</f>
        <v>22.075900000000004</v>
      </c>
    </row>
    <row r="8" spans="2:19" x14ac:dyDescent="0.25">
      <c r="B8" s="2"/>
      <c r="C8" s="1">
        <f>Inputs!F22</f>
        <v>10</v>
      </c>
      <c r="D8" s="2">
        <f>IF($C8=0,0,((Weights!$D$6*($C8/100)-(0.1)+D$5/$S$5*10)+(Weights!$D$6*($C8/100)-(0.1)+D$5/$S$5*10)*((Inputs!$F$16/100)*Weights!$H$7)+(Weights!$D$6*($C8/100)-(0.1)+D$5/$S$5*10)*Weights!G$6)*$G$3)</f>
        <v>23.23238823529412</v>
      </c>
      <c r="E8" s="2">
        <f>IF($C8=0,0,((Weights!$D$6*($C8/100)-(0.1)+E$5/$S$5*10)+(Weights!$D$6*($C8/100)-(0.1)+E$5/$S$5*10)*((Inputs!$F$16/100)*Weights!$H$7)+(Weights!$D$6*($C8/100)-(0.1)+E$5/$S$5*10)*Weights!H$6)*$G$3)</f>
        <v>23.555917647058823</v>
      </c>
      <c r="F8" s="2">
        <f>IF($C8=0,0,((Weights!$D$6*($C8/100)-(0.1)+F$5/$S$5*10)+(Weights!$D$6*($C8/100)-(0.1)+F$5/$S$5*10)*((Inputs!$F$16/100)*Weights!$H$7)+(Weights!$D$6*($C8/100)-(0.1)+F$5/$S$5*10)*Weights!I$6)*$G$3)</f>
        <v>23.87944705882353</v>
      </c>
      <c r="G8" s="2">
        <f>IF($C8=0,0,((Weights!$D$6*($C8/100)-(0.1)+G$5/$S$5*10)+(Weights!$D$6*($C8/100)-(0.1)+G$5/$S$5*10)*((Inputs!$F$16/100)*Weights!$H$7)+(Weights!$D$6*($C8/100)-(0.1)+G$5/$S$5*10)*Weights!J$6)*$G$3)</f>
        <v>24.267682352941179</v>
      </c>
      <c r="H8" s="2">
        <f>IF($C8=0,0,((Weights!$D$6*($C8/100)-(0.1)+H$5/$S$5*10)+(Weights!$D$6*($C8/100)-(0.1)+H$5/$S$5*10)*((Inputs!$F$16/100)*Weights!$H$7)+(Weights!$D$6*($C8/100)-(0.1)+H$5/$S$5*10)*Weights!K$6)*$G$3)</f>
        <v>24.720623529411764</v>
      </c>
      <c r="I8" s="2">
        <f>IF($C8=0,0,((Weights!$D$6*($C8/100)-(0.1)+I$5/$S$5*10)+(Weights!$D$6*($C8/100)-(0.1)+I$5/$S$5*10)*((Inputs!$F$16/100)*Weights!$H$7)+(Weights!$D$6*($C8/100)-(0.1)+I$5/$S$5*10)*Weights!L$6)*$G$3)</f>
        <v>25.044152941176474</v>
      </c>
      <c r="J8" s="2">
        <f>IF($C8=0,0,((Weights!$D$6*($C8/100)-(0.1)+J$5/$S$5*10)+(Weights!$D$6*($C8/100)-(0.1)+J$5/$S$5*10)*((Inputs!$F$16/100)*Weights!$H$7)+(Weights!$D$6*($C8/100)-(0.1)+J$5/$S$5*10)*Weights!M$6)*$G$3)</f>
        <v>25.497094117647059</v>
      </c>
      <c r="K8" s="2">
        <f>IF($C8=0,0,((Weights!$D$6*($C8/100)-(0.1)+K$5/$S$5*10)+(Weights!$D$6*($C8/100)-(0.1)+K$5/$S$5*10)*((Inputs!$F$16/100)*Weights!$H$7)+(Weights!$D$6*($C8/100)-(0.1)+K$5/$S$5*10)*Weights!N$6)*$G$3)</f>
        <v>26.338270588235297</v>
      </c>
      <c r="L8" s="2">
        <f>IF($C8=0,0,((Weights!$D$6*($C8/100)-(0.1)+L$5/$S$5*10)+(Weights!$D$6*($C8/100)-(0.1)+L$5/$S$5*10)*((Inputs!$F$16/100)*Weights!$H$7)+(Weights!$D$6*($C8/100)-(0.1)+L$5/$S$5*10)*Weights!O$6)*$G$3)</f>
        <v>27.114741176470591</v>
      </c>
      <c r="M8" s="2">
        <f>IF($C8=0,0,((Weights!$D$6*($C8/100)-(0.1)+M$5/$S$5*10)+(Weights!$D$6*($C8/100)-(0.1)+M$5/$S$5*10)*((Inputs!$F$16/100)*Weights!$H$7)+(Weights!$D$6*($C8/100)-(0.1)+M$5/$S$5*10)*Weights!P$6)*$G$3)</f>
        <v>27.955917647058826</v>
      </c>
      <c r="N8" s="2">
        <f>IF($C8=0,0,((Weights!$D$6*($C8/100)-(0.1)+N$5/$S$5*10)+(Weights!$D$6*($C8/100)-(0.1)+N$5/$S$5*10)*((Inputs!$F$16/100)*Weights!$H$7)+(Weights!$D$6*($C8/100)-(0.1)+N$5/$S$5*10)*Weights!Q$6)*$G$3)</f>
        <v>28.73238823529412</v>
      </c>
      <c r="O8" s="2">
        <f>IF($C8=0,0,((Weights!$D$6*($C8/100)-(0.1)+O$5/$S$5*10)+(Weights!$D$6*($C8/100)-(0.1)+O$5/$S$5*10)*((Inputs!$F$16/100)*Weights!$H$7)+(Weights!$D$6*($C8/100)-(0.1)+O$5/$S$5*10)*Weights!R$6)*$G$3)</f>
        <v>29.573564705882355</v>
      </c>
      <c r="P8" s="2">
        <f>IF($C8=0,0,((Weights!$D$6*($C8/100)-(0.1)+P$5/$S$5*10)+(Weights!$D$6*($C8/100)-(0.1)+P$5/$S$5*10)*((Inputs!$F$16/100)*Weights!$H$7)+(Weights!$D$6*($C8/100)-(0.1)+P$5/$S$5*10)*Weights!S$6)*$G$3)</f>
        <v>30.350035294117646</v>
      </c>
      <c r="Q8" s="2">
        <f>IF($C8=0,0,((Weights!$D$6*($C8/100)-(0.1)+Q$5/$S$5*10)+(Weights!$D$6*($C8/100)-(0.1)+Q$5/$S$5*10)*((Inputs!$F$16/100)*Weights!$H$7)+(Weights!$D$6*($C8/100)-(0.1)+Q$5/$S$5*10)*Weights!T$6)*$G$3)</f>
        <v>31.191211764705884</v>
      </c>
      <c r="R8" s="2">
        <f>IF($C8=0,0,((Weights!$D$6*($C8/100)-(0.1)+R$5/$S$5*10)+(Weights!$D$6*($C8/100)-(0.1)+R$5/$S$5*10)*((Inputs!$F$16/100)*Weights!$H$7)+(Weights!$D$6*($C8/100)-(0.1)+R$5/$S$5*10)*Weights!U$6)*$G$3)</f>
        <v>31.967682352941178</v>
      </c>
      <c r="S8" s="2">
        <f>IF($C8=0,0,((Weights!$D$6*($C8/100)-(0.1)+S$5/$S$5*10)+(Weights!$D$6*($C8/100)-(0.1)+S$5/$S$5*10)*((Inputs!$F$16/100)*Weights!$H$7)+(Weights!$D$6*($C8/100)-(0.1)+S$5/$S$5*10)*Weights!V$6)*$G$3)</f>
        <v>33.261800000000001</v>
      </c>
    </row>
    <row r="9" spans="2:19" x14ac:dyDescent="0.25">
      <c r="C9" s="1">
        <f>Inputs!F23</f>
        <v>15</v>
      </c>
      <c r="D9" s="2">
        <f>IF($C9=0,0,((Weights!$D$6*($C9/100)-(0.1)+D$5/$S$5*10)+(Weights!$D$6*($C9/100)-(0.1)+D$5/$S$5*10)*((Inputs!$F$16/100)*Weights!$H$7)+(Weights!$D$6*($C9/100)-(0.1)+D$5/$S$5*10)*Weights!G$6)*$G$3)</f>
        <v>34.418288235294114</v>
      </c>
      <c r="E9" s="2">
        <f>IF($C9=0,0,((Weights!$D$6*($C9/100)-(0.1)+E$5/$S$5*10)+(Weights!$D$6*($C9/100)-(0.1)+E$5/$S$5*10)*((Inputs!$F$16/100)*Weights!$H$7)+(Weights!$D$6*($C9/100)-(0.1)+E$5/$S$5*10)*Weights!H$6)*$G$3)</f>
        <v>34.741817647058824</v>
      </c>
      <c r="F9" s="2">
        <f>IF($C9=0,0,((Weights!$D$6*($C9/100)-(0.1)+F$5/$S$5*10)+(Weights!$D$6*($C9/100)-(0.1)+F$5/$S$5*10)*((Inputs!$F$16/100)*Weights!$H$7)+(Weights!$D$6*($C9/100)-(0.1)+F$5/$S$5*10)*Weights!I$6)*$G$3)</f>
        <v>35.065347058823527</v>
      </c>
      <c r="G9" s="2">
        <f>IF($C9=0,0,((Weights!$D$6*($C9/100)-(0.1)+G$5/$S$5*10)+(Weights!$D$6*($C9/100)-(0.1)+G$5/$S$5*10)*((Inputs!$F$16/100)*Weights!$H$7)+(Weights!$D$6*($C9/100)-(0.1)+G$5/$S$5*10)*Weights!J$6)*$G$3)</f>
        <v>35.453582352941176</v>
      </c>
      <c r="H9" s="2">
        <f>IF($C9=0,0,((Weights!$D$6*($C9/100)-(0.1)+H$5/$S$5*10)+(Weights!$D$6*($C9/100)-(0.1)+H$5/$S$5*10)*((Inputs!$F$16/100)*Weights!$H$7)+(Weights!$D$6*($C9/100)-(0.1)+H$5/$S$5*10)*Weights!K$6)*$G$3)</f>
        <v>35.906523529411764</v>
      </c>
      <c r="I9" s="2">
        <f>IF($C9=0,0,((Weights!$D$6*($C9/100)-(0.1)+I$5/$S$5*10)+(Weights!$D$6*($C9/100)-(0.1)+I$5/$S$5*10)*((Inputs!$F$16/100)*Weights!$H$7)+(Weights!$D$6*($C9/100)-(0.1)+I$5/$S$5*10)*Weights!L$6)*$G$3)</f>
        <v>36.230052941176474</v>
      </c>
      <c r="J9" s="2">
        <f>IF($C9=0,0,((Weights!$D$6*($C9/100)-(0.1)+J$5/$S$5*10)+(Weights!$D$6*($C9/100)-(0.1)+J$5/$S$5*10)*((Inputs!$F$16/100)*Weights!$H$7)+(Weights!$D$6*($C9/100)-(0.1)+J$5/$S$5*10)*Weights!M$6)*$G$3)</f>
        <v>36.682994117647056</v>
      </c>
      <c r="K9" s="2">
        <f>IF($C9=0,0,((Weights!$D$6*($C9/100)-(0.1)+K$5/$S$5*10)+(Weights!$D$6*($C9/100)-(0.1)+K$5/$S$5*10)*((Inputs!$F$16/100)*Weights!$H$7)+(Weights!$D$6*($C9/100)-(0.1)+K$5/$S$5*10)*Weights!N$6)*$G$3)</f>
        <v>37.524170588235293</v>
      </c>
      <c r="L9" s="2">
        <f>IF($C9=0,0,((Weights!$D$6*($C9/100)-(0.1)+L$5/$S$5*10)+(Weights!$D$6*($C9/100)-(0.1)+L$5/$S$5*10)*((Inputs!$F$16/100)*Weights!$H$7)+(Weights!$D$6*($C9/100)-(0.1)+L$5/$S$5*10)*Weights!O$6)*$G$3)</f>
        <v>38.300641176470592</v>
      </c>
      <c r="M9" s="2">
        <f>IF($C9=0,0,((Weights!$D$6*($C9/100)-(0.1)+M$5/$S$5*10)+(Weights!$D$6*($C9/100)-(0.1)+M$5/$S$5*10)*((Inputs!$F$16/100)*Weights!$H$7)+(Weights!$D$6*($C9/100)-(0.1)+M$5/$S$5*10)*Weights!P$6)*$G$3)</f>
        <v>39.141817647058829</v>
      </c>
      <c r="N9" s="2">
        <f>IF($C9=0,0,((Weights!$D$6*($C9/100)-(0.1)+N$5/$S$5*10)+(Weights!$D$6*($C9/100)-(0.1)+N$5/$S$5*10)*((Inputs!$F$16/100)*Weights!$H$7)+(Weights!$D$6*($C9/100)-(0.1)+N$5/$S$5*10)*Weights!Q$6)*$G$3)</f>
        <v>39.918288235294121</v>
      </c>
      <c r="O9" s="2">
        <f>IF($C9=0,0,((Weights!$D$6*($C9/100)-(0.1)+O$5/$S$5*10)+(Weights!$D$6*($C9/100)-(0.1)+O$5/$S$5*10)*((Inputs!$F$16/100)*Weights!$H$7)+(Weights!$D$6*($C9/100)-(0.1)+O$5/$S$5*10)*Weights!R$6)*$G$3)</f>
        <v>40.759464705882351</v>
      </c>
      <c r="P9" s="2">
        <f>IF($C9=0,0,((Weights!$D$6*($C9/100)-(0.1)+P$5/$S$5*10)+(Weights!$D$6*($C9/100)-(0.1)+P$5/$S$5*10)*((Inputs!$F$16/100)*Weights!$H$7)+(Weights!$D$6*($C9/100)-(0.1)+P$5/$S$5*10)*Weights!S$6)*$G$3)</f>
        <v>41.535935294117643</v>
      </c>
      <c r="Q9" s="2">
        <f>IF($C9=0,0,((Weights!$D$6*($C9/100)-(0.1)+Q$5/$S$5*10)+(Weights!$D$6*($C9/100)-(0.1)+Q$5/$S$5*10)*((Inputs!$F$16/100)*Weights!$H$7)+(Weights!$D$6*($C9/100)-(0.1)+Q$5/$S$5*10)*Weights!T$6)*$G$3)</f>
        <v>42.37711176470588</v>
      </c>
      <c r="R9" s="2">
        <f>IF($C9=0,0,((Weights!$D$6*($C9/100)-(0.1)+R$5/$S$5*10)+(Weights!$D$6*($C9/100)-(0.1)+R$5/$S$5*10)*((Inputs!$F$16/100)*Weights!$H$7)+(Weights!$D$6*($C9/100)-(0.1)+R$5/$S$5*10)*Weights!U$6)*$G$3)</f>
        <v>43.153582352941179</v>
      </c>
      <c r="S9" s="2">
        <f>IF($C9=0,0,((Weights!$D$6*($C9/100)-(0.1)+S$5/$S$5*10)+(Weights!$D$6*($C9/100)-(0.1)+S$5/$S$5*10)*((Inputs!$F$16/100)*Weights!$H$7)+(Weights!$D$6*($C9/100)-(0.1)+S$5/$S$5*10)*Weights!V$6)*$G$3)</f>
        <v>44.447699999999998</v>
      </c>
    </row>
    <row r="10" spans="2:19" x14ac:dyDescent="0.25">
      <c r="C10" s="1">
        <f>Inputs!F24</f>
        <v>20</v>
      </c>
      <c r="D10" s="2">
        <f>IF($C10=0,0,((Weights!$D$6*($C10/100)-(0.1)+D$5/$S$5*10)+(Weights!$D$6*($C10/100)-(0.1)+D$5/$S$5*10)*((Inputs!$F$16/100)*Weights!$H$7)+(Weights!$D$6*($C10/100)-(0.1)+D$5/$S$5*10)*Weights!G$6)*$G$3)</f>
        <v>45.604188235294124</v>
      </c>
      <c r="E10" s="2">
        <f>IF($C10=0,0,((Weights!$D$6*($C10/100)-(0.1)+E$5/$S$5*10)+(Weights!$D$6*($C10/100)-(0.1)+E$5/$S$5*10)*((Inputs!$F$16/100)*Weights!$H$7)+(Weights!$D$6*($C10/100)-(0.1)+E$5/$S$5*10)*Weights!H$6)*$G$3)</f>
        <v>45.927717647058834</v>
      </c>
      <c r="F10" s="2">
        <f>IF($C10=0,0,((Weights!$D$6*($C10/100)-(0.1)+F$5/$S$5*10)+(Weights!$D$6*($C10/100)-(0.1)+F$5/$S$5*10)*((Inputs!$F$16/100)*Weights!$H$7)+(Weights!$D$6*($C10/100)-(0.1)+F$5/$S$5*10)*Weights!I$6)*$G$3)</f>
        <v>46.25124705882353</v>
      </c>
      <c r="G10" s="2">
        <f>IF($C10=0,0,((Weights!$D$6*($C10/100)-(0.1)+G$5/$S$5*10)+(Weights!$D$6*($C10/100)-(0.1)+G$5/$S$5*10)*((Inputs!$F$16/100)*Weights!$H$7)+(Weights!$D$6*($C10/100)-(0.1)+G$5/$S$5*10)*Weights!J$6)*$G$3)</f>
        <v>46.639482352941179</v>
      </c>
      <c r="H10" s="2">
        <f>IF($C10=0,0,((Weights!$D$6*($C10/100)-(0.1)+H$5/$S$5*10)+(Weights!$D$6*($C10/100)-(0.1)+H$5/$S$5*10)*((Inputs!$F$16/100)*Weights!$H$7)+(Weights!$D$6*($C10/100)-(0.1)+H$5/$S$5*10)*Weights!K$6)*$G$3)</f>
        <v>47.092423529411768</v>
      </c>
      <c r="I10" s="2">
        <f>IF($C10=0,0,((Weights!$D$6*($C10/100)-(0.1)+I$5/$S$5*10)+(Weights!$D$6*($C10/100)-(0.1)+I$5/$S$5*10)*((Inputs!$F$16/100)*Weights!$H$7)+(Weights!$D$6*($C10/100)-(0.1)+I$5/$S$5*10)*Weights!L$6)*$G$3)</f>
        <v>47.415952941176478</v>
      </c>
      <c r="J10" s="2">
        <f>IF($C10=0,0,((Weights!$D$6*($C10/100)-(0.1)+J$5/$S$5*10)+(Weights!$D$6*($C10/100)-(0.1)+J$5/$S$5*10)*((Inputs!$F$16/100)*Weights!$H$7)+(Weights!$D$6*($C10/100)-(0.1)+J$5/$S$5*10)*Weights!M$6)*$G$3)</f>
        <v>47.868894117647066</v>
      </c>
      <c r="K10" s="2">
        <f>IF($C10=0,0,((Weights!$D$6*($C10/100)-(0.1)+K$5/$S$5*10)+(Weights!$D$6*($C10/100)-(0.1)+K$5/$S$5*10)*((Inputs!$F$16/100)*Weights!$H$7)+(Weights!$D$6*($C10/100)-(0.1)+K$5/$S$5*10)*Weights!N$6)*$G$3)</f>
        <v>48.710070588235297</v>
      </c>
      <c r="L10" s="2">
        <f>IF($C10=0,0,((Weights!$D$6*($C10/100)-(0.1)+L$5/$S$5*10)+(Weights!$D$6*($C10/100)-(0.1)+L$5/$S$5*10)*((Inputs!$F$16/100)*Weights!$H$7)+(Weights!$D$6*($C10/100)-(0.1)+L$5/$S$5*10)*Weights!O$6)*$G$3)</f>
        <v>49.486541176470595</v>
      </c>
      <c r="M10" s="2">
        <f>IF($C10=0,0,((Weights!$D$6*($C10/100)-(0.1)+M$5/$S$5*10)+(Weights!$D$6*($C10/100)-(0.1)+M$5/$S$5*10)*((Inputs!$F$16/100)*Weights!$H$7)+(Weights!$D$6*($C10/100)-(0.1)+M$5/$S$5*10)*Weights!P$6)*$G$3)</f>
        <v>50.327717647058833</v>
      </c>
      <c r="N10" s="2">
        <f>IF($C10=0,0,((Weights!$D$6*($C10/100)-(0.1)+N$5/$S$5*10)+(Weights!$D$6*($C10/100)-(0.1)+N$5/$S$5*10)*((Inputs!$F$16/100)*Weights!$H$7)+(Weights!$D$6*($C10/100)-(0.1)+N$5/$S$5*10)*Weights!Q$6)*$G$3)</f>
        <v>51.104188235294124</v>
      </c>
      <c r="O10" s="2">
        <f>IF($C10=0,0,((Weights!$D$6*($C10/100)-(0.1)+O$5/$S$5*10)+(Weights!$D$6*($C10/100)-(0.1)+O$5/$S$5*10)*((Inputs!$F$16/100)*Weights!$H$7)+(Weights!$D$6*($C10/100)-(0.1)+O$5/$S$5*10)*Weights!R$6)*$G$3)</f>
        <v>51.945364705882362</v>
      </c>
      <c r="P10" s="2">
        <f>IF($C10=0,0,((Weights!$D$6*($C10/100)-(0.1)+P$5/$S$5*10)+(Weights!$D$6*($C10/100)-(0.1)+P$5/$S$5*10)*((Inputs!$F$16/100)*Weights!$H$7)+(Weights!$D$6*($C10/100)-(0.1)+P$5/$S$5*10)*Weights!S$6)*$G$3)</f>
        <v>52.721835294117653</v>
      </c>
      <c r="Q10" s="2">
        <f>IF($C10=0,0,((Weights!$D$6*($C10/100)-(0.1)+Q$5/$S$5*10)+(Weights!$D$6*($C10/100)-(0.1)+Q$5/$S$5*10)*((Inputs!$F$16/100)*Weights!$H$7)+(Weights!$D$6*($C10/100)-(0.1)+Q$5/$S$5*10)*Weights!T$6)*$G$3)</f>
        <v>53.563011764705884</v>
      </c>
      <c r="R10" s="2">
        <f>IF($C10=0,0,((Weights!$D$6*($C10/100)-(0.1)+R$5/$S$5*10)+(Weights!$D$6*($C10/100)-(0.1)+R$5/$S$5*10)*((Inputs!$F$16/100)*Weights!$H$7)+(Weights!$D$6*($C10/100)-(0.1)+R$5/$S$5*10)*Weights!U$6)*$G$3)</f>
        <v>54.339482352941175</v>
      </c>
      <c r="S10" s="2">
        <f>IF($C10=0,0,((Weights!$D$6*($C10/100)-(0.1)+S$5/$S$5*10)+(Weights!$D$6*($C10/100)-(0.1)+S$5/$S$5*10)*((Inputs!$F$16/100)*Weights!$H$7)+(Weights!$D$6*($C10/100)-(0.1)+S$5/$S$5*10)*Weights!V$6)*$G$3)</f>
        <v>55.633600000000008</v>
      </c>
    </row>
    <row r="11" spans="2:19" x14ac:dyDescent="0.25">
      <c r="C11" s="1">
        <f>Inputs!F25</f>
        <v>25</v>
      </c>
      <c r="D11" s="2">
        <f>IF($C11=0,0,((Weights!$D$6*($C11/100)-(0.1)+D$5/$S$5*10)+(Weights!$D$6*($C11/100)-(0.1)+D$5/$S$5*10)*((Inputs!$F$16/100)*Weights!$H$7)+(Weights!$D$6*($C11/100)-(0.1)+D$5/$S$5*10)*Weights!G$6)*$G$3)</f>
        <v>56.790088235294121</v>
      </c>
      <c r="E11" s="2">
        <f>IF($C11=0,0,((Weights!$D$6*($C11/100)-(0.1)+E$5/$S$5*10)+(Weights!$D$6*($C11/100)-(0.1)+E$5/$S$5*10)*((Inputs!$F$16/100)*Weights!$H$7)+(Weights!$D$6*($C11/100)-(0.1)+E$5/$S$5*10)*Weights!H$6)*$G$3)</f>
        <v>57.113617647058831</v>
      </c>
      <c r="F11" s="2">
        <f>IF($C11=0,0,((Weights!$D$6*($C11/100)-(0.1)+F$5/$S$5*10)+(Weights!$D$6*($C11/100)-(0.1)+F$5/$S$5*10)*((Inputs!$F$16/100)*Weights!$H$7)+(Weights!$D$6*($C11/100)-(0.1)+F$5/$S$5*10)*Weights!I$6)*$G$3)</f>
        <v>57.437147058823527</v>
      </c>
      <c r="G11" s="2">
        <f>IF($C11=0,0,((Weights!$D$6*($C11/100)-(0.1)+G$5/$S$5*10)+(Weights!$D$6*($C11/100)-(0.1)+G$5/$S$5*10)*((Inputs!$F$16/100)*Weights!$H$7)+(Weights!$D$6*($C11/100)-(0.1)+G$5/$S$5*10)*Weights!J$6)*$G$3)</f>
        <v>57.825382352941176</v>
      </c>
      <c r="H11" s="2">
        <f>IF($C11=0,0,((Weights!$D$6*($C11/100)-(0.1)+H$5/$S$5*10)+(Weights!$D$6*($C11/100)-(0.1)+H$5/$S$5*10)*((Inputs!$F$16/100)*Weights!$H$7)+(Weights!$D$6*($C11/100)-(0.1)+H$5/$S$5*10)*Weights!K$6)*$G$3)</f>
        <v>58.278323529411765</v>
      </c>
      <c r="I11" s="2">
        <f>IF($C11=0,0,((Weights!$D$6*($C11/100)-(0.1)+I$5/$S$5*10)+(Weights!$D$6*($C11/100)-(0.1)+I$5/$S$5*10)*((Inputs!$F$16/100)*Weights!$H$7)+(Weights!$D$6*($C11/100)-(0.1)+I$5/$S$5*10)*Weights!L$6)*$G$3)</f>
        <v>58.601852941176475</v>
      </c>
      <c r="J11" s="2">
        <f>IF($C11=0,0,((Weights!$D$6*($C11/100)-(0.1)+J$5/$S$5*10)+(Weights!$D$6*($C11/100)-(0.1)+J$5/$S$5*10)*((Inputs!$F$16/100)*Weights!$H$7)+(Weights!$D$6*($C11/100)-(0.1)+J$5/$S$5*10)*Weights!M$6)*$G$3)</f>
        <v>59.054794117647063</v>
      </c>
      <c r="K11" s="2">
        <f>IF($C11=0,0,((Weights!$D$6*($C11/100)-(0.1)+K$5/$S$5*10)+(Weights!$D$6*($C11/100)-(0.1)+K$5/$S$5*10)*((Inputs!$F$16/100)*Weights!$H$7)+(Weights!$D$6*($C11/100)-(0.1)+K$5/$S$5*10)*Weights!N$6)*$G$3)</f>
        <v>59.895970588235294</v>
      </c>
      <c r="L11" s="2">
        <f>IF($C11=0,0,((Weights!$D$6*($C11/100)-(0.1)+L$5/$S$5*10)+(Weights!$D$6*($C11/100)-(0.1)+L$5/$S$5*10)*((Inputs!$F$16/100)*Weights!$H$7)+(Weights!$D$6*($C11/100)-(0.1)+L$5/$S$5*10)*Weights!O$6)*$G$3)</f>
        <v>60.672441176470592</v>
      </c>
      <c r="M11" s="2">
        <f>IF($C11=0,0,((Weights!$D$6*($C11/100)-(0.1)+M$5/$S$5*10)+(Weights!$D$6*($C11/100)-(0.1)+M$5/$S$5*10)*((Inputs!$F$16/100)*Weights!$H$7)+(Weights!$D$6*($C11/100)-(0.1)+M$5/$S$5*10)*Weights!P$6)*$G$3)</f>
        <v>61.51361764705883</v>
      </c>
      <c r="N11" s="2">
        <f>IF($C11=0,0,((Weights!$D$6*($C11/100)-(0.1)+N$5/$S$5*10)+(Weights!$D$6*($C11/100)-(0.1)+N$5/$S$5*10)*((Inputs!$F$16/100)*Weights!$H$7)+(Weights!$D$6*($C11/100)-(0.1)+N$5/$S$5*10)*Weights!Q$6)*$G$3)</f>
        <v>62.290088235294121</v>
      </c>
      <c r="O11" s="2">
        <f>IF($C11=0,0,((Weights!$D$6*($C11/100)-(0.1)+O$5/$S$5*10)+(Weights!$D$6*($C11/100)-(0.1)+O$5/$S$5*10)*((Inputs!$F$16/100)*Weights!$H$7)+(Weights!$D$6*($C11/100)-(0.1)+O$5/$S$5*10)*Weights!R$6)*$G$3)</f>
        <v>63.131264705882359</v>
      </c>
      <c r="P11" s="2">
        <f>IF($C11=0,0,((Weights!$D$6*($C11/100)-(0.1)+P$5/$S$5*10)+(Weights!$D$6*($C11/100)-(0.1)+P$5/$S$5*10)*((Inputs!$F$16/100)*Weights!$H$7)+(Weights!$D$6*($C11/100)-(0.1)+P$5/$S$5*10)*Weights!S$6)*$G$3)</f>
        <v>63.90773529411765</v>
      </c>
      <c r="Q11" s="2">
        <f>IF($C11=0,0,((Weights!$D$6*($C11/100)-(0.1)+Q$5/$S$5*10)+(Weights!$D$6*($C11/100)-(0.1)+Q$5/$S$5*10)*((Inputs!$F$16/100)*Weights!$H$7)+(Weights!$D$6*($C11/100)-(0.1)+Q$5/$S$5*10)*Weights!T$6)*$G$3)</f>
        <v>64.748911764705881</v>
      </c>
      <c r="R11" s="2">
        <f>IF($C11=0,0,((Weights!$D$6*($C11/100)-(0.1)+R$5/$S$5*10)+(Weights!$D$6*($C11/100)-(0.1)+R$5/$S$5*10)*((Inputs!$F$16/100)*Weights!$H$7)+(Weights!$D$6*($C11/100)-(0.1)+R$5/$S$5*10)*Weights!U$6)*$G$3)</f>
        <v>65.525382352941179</v>
      </c>
      <c r="S11" s="2">
        <f>IF($C11=0,0,((Weights!$D$6*($C11/100)-(0.1)+S$5/$S$5*10)+(Weights!$D$6*($C11/100)-(0.1)+S$5/$S$5*10)*((Inputs!$F$16/100)*Weights!$H$7)+(Weights!$D$6*($C11/100)-(0.1)+S$5/$S$5*10)*Weights!V$6)*$G$3)</f>
        <v>66.819500000000005</v>
      </c>
    </row>
    <row r="12" spans="2:19" x14ac:dyDescent="0.25">
      <c r="C12" s="1">
        <f>Inputs!F26</f>
        <v>30</v>
      </c>
      <c r="D12" s="2">
        <f>IF($C12=0,0,((Weights!$D$6*($C12/100)-(0.1)+D$5/$S$5*10)+(Weights!$D$6*($C12/100)-(0.1)+D$5/$S$5*10)*((Inputs!$F$16/100)*Weights!$H$7)+(Weights!$D$6*($C12/100)-(0.1)+D$5/$S$5*10)*Weights!G$6)*$G$3)</f>
        <v>67.97598823529411</v>
      </c>
      <c r="E12" s="2">
        <f>IF($C12=0,0,((Weights!$D$6*($C12/100)-(0.1)+E$5/$S$5*10)+(Weights!$D$6*($C12/100)-(0.1)+E$5/$S$5*10)*((Inputs!$F$16/100)*Weights!$H$7)+(Weights!$D$6*($C12/100)-(0.1)+E$5/$S$5*10)*Weights!H$6)*$G$3)</f>
        <v>68.299517647058821</v>
      </c>
      <c r="F12" s="2">
        <f>IF($C12=0,0,((Weights!$D$6*($C12/100)-(0.1)+F$5/$S$5*10)+(Weights!$D$6*($C12/100)-(0.1)+F$5/$S$5*10)*((Inputs!$F$16/100)*Weights!$H$7)+(Weights!$D$6*($C12/100)-(0.1)+F$5/$S$5*10)*Weights!I$6)*$G$3)</f>
        <v>68.623047058823531</v>
      </c>
      <c r="G12" s="2">
        <f>IF($C12=0,0,((Weights!$D$6*($C12/100)-(0.1)+G$5/$S$5*10)+(Weights!$D$6*($C12/100)-(0.1)+G$5/$S$5*10)*((Inputs!$F$16/100)*Weights!$H$7)+(Weights!$D$6*($C12/100)-(0.1)+G$5/$S$5*10)*Weights!J$6)*$G$3)</f>
        <v>69.011282352941166</v>
      </c>
      <c r="H12" s="2">
        <f>IF($C12=0,0,((Weights!$D$6*($C12/100)-(0.1)+H$5/$S$5*10)+(Weights!$D$6*($C12/100)-(0.1)+H$5/$S$5*10)*((Inputs!$F$16/100)*Weights!$H$7)+(Weights!$D$6*($C12/100)-(0.1)+H$5/$S$5*10)*Weights!K$6)*$G$3)</f>
        <v>69.464223529411768</v>
      </c>
      <c r="I12" s="2">
        <f>IF($C12=0,0,((Weights!$D$6*($C12/100)-(0.1)+I$5/$S$5*10)+(Weights!$D$6*($C12/100)-(0.1)+I$5/$S$5*10)*((Inputs!$F$16/100)*Weights!$H$7)+(Weights!$D$6*($C12/100)-(0.1)+I$5/$S$5*10)*Weights!L$6)*$G$3)</f>
        <v>69.787752941176478</v>
      </c>
      <c r="J12" s="2">
        <f>IF($C12=0,0,((Weights!$D$6*($C12/100)-(0.1)+J$5/$S$5*10)+(Weights!$D$6*($C12/100)-(0.1)+J$5/$S$5*10)*((Inputs!$F$16/100)*Weights!$H$7)+(Weights!$D$6*($C12/100)-(0.1)+J$5/$S$5*10)*Weights!M$6)*$G$3)</f>
        <v>70.240694117647067</v>
      </c>
      <c r="K12" s="2">
        <f>IF($C12=0,0,((Weights!$D$6*($C12/100)-(0.1)+K$5/$S$5*10)+(Weights!$D$6*($C12/100)-(0.1)+K$5/$S$5*10)*((Inputs!$F$16/100)*Weights!$H$7)+(Weights!$D$6*($C12/100)-(0.1)+K$5/$S$5*10)*Weights!N$6)*$G$3)</f>
        <v>71.081870588235304</v>
      </c>
      <c r="L12" s="2">
        <f>IF($C12=0,0,((Weights!$D$6*($C12/100)-(0.1)+L$5/$S$5*10)+(Weights!$D$6*($C12/100)-(0.1)+L$5/$S$5*10)*((Inputs!$F$16/100)*Weights!$H$7)+(Weights!$D$6*($C12/100)-(0.1)+L$5/$S$5*10)*Weights!O$6)*$G$3)</f>
        <v>71.858341176470589</v>
      </c>
      <c r="M12" s="2">
        <f>IF($C12=0,0,((Weights!$D$6*($C12/100)-(0.1)+M$5/$S$5*10)+(Weights!$D$6*($C12/100)-(0.1)+M$5/$S$5*10)*((Inputs!$F$16/100)*Weights!$H$7)+(Weights!$D$6*($C12/100)-(0.1)+M$5/$S$5*10)*Weights!P$6)*$G$3)</f>
        <v>72.699517647058826</v>
      </c>
      <c r="N12" s="2">
        <f>IF($C12=0,0,((Weights!$D$6*($C12/100)-(0.1)+N$5/$S$5*10)+(Weights!$D$6*($C12/100)-(0.1)+N$5/$S$5*10)*((Inputs!$F$16/100)*Weights!$H$7)+(Weights!$D$6*($C12/100)-(0.1)+N$5/$S$5*10)*Weights!Q$6)*$G$3)</f>
        <v>73.475988235294125</v>
      </c>
      <c r="O12" s="2">
        <f>IF($C12=0,0,((Weights!$D$6*($C12/100)-(0.1)+O$5/$S$5*10)+(Weights!$D$6*($C12/100)-(0.1)+O$5/$S$5*10)*((Inputs!$F$16/100)*Weights!$H$7)+(Weights!$D$6*($C12/100)-(0.1)+O$5/$S$5*10)*Weights!R$6)*$G$3)</f>
        <v>74.317164705882348</v>
      </c>
      <c r="P12" s="2">
        <f>IF($C12=0,0,((Weights!$D$6*($C12/100)-(0.1)+P$5/$S$5*10)+(Weights!$D$6*($C12/100)-(0.1)+P$5/$S$5*10)*((Inputs!$F$16/100)*Weights!$H$7)+(Weights!$D$6*($C12/100)-(0.1)+P$5/$S$5*10)*Weights!S$6)*$G$3)</f>
        <v>75.093635294117647</v>
      </c>
      <c r="Q12" s="2">
        <f>IF($C12=0,0,((Weights!$D$6*($C12/100)-(0.1)+Q$5/$S$5*10)+(Weights!$D$6*($C12/100)-(0.1)+Q$5/$S$5*10)*((Inputs!$F$16/100)*Weights!$H$7)+(Weights!$D$6*($C12/100)-(0.1)+Q$5/$S$5*10)*Weights!T$6)*$G$3)</f>
        <v>75.934811764705884</v>
      </c>
      <c r="R12" s="2">
        <f>IF($C12=0,0,((Weights!$D$6*($C12/100)-(0.1)+R$5/$S$5*10)+(Weights!$D$6*($C12/100)-(0.1)+R$5/$S$5*10)*((Inputs!$F$16/100)*Weights!$H$7)+(Weights!$D$6*($C12/100)-(0.1)+R$5/$S$5*10)*Weights!U$6)*$G$3)</f>
        <v>76.711282352941168</v>
      </c>
      <c r="S12" s="2">
        <f>IF($C12=0,0,((Weights!$D$6*($C12/100)-(0.1)+S$5/$S$5*10)+(Weights!$D$6*($C12/100)-(0.1)+S$5/$S$5*10)*((Inputs!$F$16/100)*Weights!$H$7)+(Weights!$D$6*($C12/100)-(0.1)+S$5/$S$5*10)*Weights!V$6)*$G$3)</f>
        <v>78.005399999999995</v>
      </c>
    </row>
    <row r="13" spans="2:19" x14ac:dyDescent="0.25">
      <c r="C13" s="1">
        <f>Inputs!F27</f>
        <v>35</v>
      </c>
      <c r="D13" s="2">
        <f>IF($C13=0,0,((Weights!$D$6*($C13/100)-(0.1)+D$5/$S$5*10)+(Weights!$D$6*($C13/100)-(0.1)+D$5/$S$5*10)*((Inputs!$F$16/100)*Weights!$H$7)+(Weights!$D$6*($C13/100)-(0.1)+D$5/$S$5*10)*Weights!G$6)*$G$3)</f>
        <v>79.161888235294114</v>
      </c>
      <c r="E13" s="2">
        <f>IF($C13=0,0,((Weights!$D$6*($C13/100)-(0.1)+E$5/$S$5*10)+(Weights!$D$6*($C13/100)-(0.1)+E$5/$S$5*10)*((Inputs!$F$16/100)*Weights!$H$7)+(Weights!$D$6*($C13/100)-(0.1)+E$5/$S$5*10)*Weights!H$6)*$G$3)</f>
        <v>79.485417647058824</v>
      </c>
      <c r="F13" s="2">
        <f>IF($C13=0,0,((Weights!$D$6*($C13/100)-(0.1)+F$5/$S$5*10)+(Weights!$D$6*($C13/100)-(0.1)+F$5/$S$5*10)*((Inputs!$F$16/100)*Weights!$H$7)+(Weights!$D$6*($C13/100)-(0.1)+F$5/$S$5*10)*Weights!I$6)*$G$3)</f>
        <v>79.808947058823534</v>
      </c>
      <c r="G13" s="2">
        <f>IF($C13=0,0,((Weights!$D$6*($C13/100)-(0.1)+G$5/$S$5*10)+(Weights!$D$6*($C13/100)-(0.1)+G$5/$S$5*10)*((Inputs!$F$16/100)*Weights!$H$7)+(Weights!$D$6*($C13/100)-(0.1)+G$5/$S$5*10)*Weights!J$6)*$G$3)</f>
        <v>80.197182352941184</v>
      </c>
      <c r="H13" s="2">
        <f>IF($C13=0,0,((Weights!$D$6*($C13/100)-(0.1)+H$5/$S$5*10)+(Weights!$D$6*($C13/100)-(0.1)+H$5/$S$5*10)*((Inputs!$F$16/100)*Weights!$H$7)+(Weights!$D$6*($C13/100)-(0.1)+H$5/$S$5*10)*Weights!K$6)*$G$3)</f>
        <v>80.650123529411772</v>
      </c>
      <c r="I13" s="2">
        <f>IF($C13=0,0,((Weights!$D$6*($C13/100)-(0.1)+I$5/$S$5*10)+(Weights!$D$6*($C13/100)-(0.1)+I$5/$S$5*10)*((Inputs!$F$16/100)*Weights!$H$7)+(Weights!$D$6*($C13/100)-(0.1)+I$5/$S$5*10)*Weights!L$6)*$G$3)</f>
        <v>80.973652941176482</v>
      </c>
      <c r="J13" s="2">
        <f>IF($C13=0,0,((Weights!$D$6*($C13/100)-(0.1)+J$5/$S$5*10)+(Weights!$D$6*($C13/100)-(0.1)+J$5/$S$5*10)*((Inputs!$F$16/100)*Weights!$H$7)+(Weights!$D$6*($C13/100)-(0.1)+J$5/$S$5*10)*Weights!M$6)*$G$3)</f>
        <v>81.426594117647056</v>
      </c>
      <c r="K13" s="2">
        <f>IF($C13=0,0,((Weights!$D$6*($C13/100)-(0.1)+K$5/$S$5*10)+(Weights!$D$6*($C13/100)-(0.1)+K$5/$S$5*10)*((Inputs!$F$16/100)*Weights!$H$7)+(Weights!$D$6*($C13/100)-(0.1)+K$5/$S$5*10)*Weights!N$6)*$G$3)</f>
        <v>82.267770588235294</v>
      </c>
      <c r="L13" s="2">
        <f>IF($C13=0,0,((Weights!$D$6*($C13/100)-(0.1)+L$5/$S$5*10)+(Weights!$D$6*($C13/100)-(0.1)+L$5/$S$5*10)*((Inputs!$F$16/100)*Weights!$H$7)+(Weights!$D$6*($C13/100)-(0.1)+L$5/$S$5*10)*Weights!O$6)*$G$3)</f>
        <v>83.044241176470592</v>
      </c>
      <c r="M13" s="2">
        <f>IF($C13=0,0,((Weights!$D$6*($C13/100)-(0.1)+M$5/$S$5*10)+(Weights!$D$6*($C13/100)-(0.1)+M$5/$S$5*10)*((Inputs!$F$16/100)*Weights!$H$7)+(Weights!$D$6*($C13/100)-(0.1)+M$5/$S$5*10)*Weights!P$6)*$G$3)</f>
        <v>83.88541764705883</v>
      </c>
      <c r="N13" s="2">
        <f>IF($C13=0,0,((Weights!$D$6*($C13/100)-(0.1)+N$5/$S$5*10)+(Weights!$D$6*($C13/100)-(0.1)+N$5/$S$5*10)*((Inputs!$F$16/100)*Weights!$H$7)+(Weights!$D$6*($C13/100)-(0.1)+N$5/$S$5*10)*Weights!Q$6)*$G$3)</f>
        <v>84.661888235294114</v>
      </c>
      <c r="O13" s="2">
        <f>IF($C13=0,0,((Weights!$D$6*($C13/100)-(0.1)+O$5/$S$5*10)+(Weights!$D$6*($C13/100)-(0.1)+O$5/$S$5*10)*((Inputs!$F$16/100)*Weights!$H$7)+(Weights!$D$6*($C13/100)-(0.1)+O$5/$S$5*10)*Weights!R$6)*$G$3)</f>
        <v>85.503064705882352</v>
      </c>
      <c r="P13" s="2">
        <f>IF($C13=0,0,((Weights!$D$6*($C13/100)-(0.1)+P$5/$S$5*10)+(Weights!$D$6*($C13/100)-(0.1)+P$5/$S$5*10)*((Inputs!$F$16/100)*Weights!$H$7)+(Weights!$D$6*($C13/100)-(0.1)+P$5/$S$5*10)*Weights!S$6)*$G$3)</f>
        <v>86.279535294117665</v>
      </c>
      <c r="Q13" s="2">
        <f>IF($C13=0,0,((Weights!$D$6*($C13/100)-(0.1)+Q$5/$S$5*10)+(Weights!$D$6*($C13/100)-(0.1)+Q$5/$S$5*10)*((Inputs!$F$16/100)*Weights!$H$7)+(Weights!$D$6*($C13/100)-(0.1)+Q$5/$S$5*10)*Weights!T$6)*$G$3)</f>
        <v>87.120711764705888</v>
      </c>
      <c r="R13" s="2">
        <f>IF($C13=0,0,((Weights!$D$6*($C13/100)-(0.1)+R$5/$S$5*10)+(Weights!$D$6*($C13/100)-(0.1)+R$5/$S$5*10)*((Inputs!$F$16/100)*Weights!$H$7)+(Weights!$D$6*($C13/100)-(0.1)+R$5/$S$5*10)*Weights!U$6)*$G$3)</f>
        <v>87.897182352941186</v>
      </c>
      <c r="S13" s="2">
        <f>IF($C13=0,0,((Weights!$D$6*($C13/100)-(0.1)+S$5/$S$5*10)+(Weights!$D$6*($C13/100)-(0.1)+S$5/$S$5*10)*((Inputs!$F$16/100)*Weights!$H$7)+(Weights!$D$6*($C13/100)-(0.1)+S$5/$S$5*10)*Weights!V$6)*$G$3)</f>
        <v>89.191300000000012</v>
      </c>
    </row>
    <row r="14" spans="2:19" x14ac:dyDescent="0.25">
      <c r="C14" s="1">
        <f>Inputs!F28</f>
        <v>40</v>
      </c>
      <c r="D14" s="2">
        <f>IF($C14=0,0,((Weights!$D$6*($C14/100)-(0.1)+D$5/$S$5*10)+(Weights!$D$6*($C14/100)-(0.1)+D$5/$S$5*10)*((Inputs!$F$16/100)*Weights!$H$7)+(Weights!$D$6*($C14/100)-(0.1)+D$5/$S$5*10)*Weights!G$6)*$G$3)</f>
        <v>90.347788235294132</v>
      </c>
      <c r="E14" s="2">
        <f>IF($C14=0,0,((Weights!$D$6*($C14/100)-(0.1)+E$5/$S$5*10)+(Weights!$D$6*($C14/100)-(0.1)+E$5/$S$5*10)*((Inputs!$F$16/100)*Weights!$H$7)+(Weights!$D$6*($C14/100)-(0.1)+E$5/$S$5*10)*Weights!H$6)*$G$3)</f>
        <v>90.671317647058842</v>
      </c>
      <c r="F14" s="2">
        <f>IF($C14=0,0,((Weights!$D$6*($C14/100)-(0.1)+F$5/$S$5*10)+(Weights!$D$6*($C14/100)-(0.1)+F$5/$S$5*10)*((Inputs!$F$16/100)*Weights!$H$7)+(Weights!$D$6*($C14/100)-(0.1)+F$5/$S$5*10)*Weights!I$6)*$G$3)</f>
        <v>90.994847058823552</v>
      </c>
      <c r="G14" s="2">
        <f>IF($C14=0,0,((Weights!$D$6*($C14/100)-(0.1)+G$5/$S$5*10)+(Weights!$D$6*($C14/100)-(0.1)+G$5/$S$5*10)*((Inputs!$F$16/100)*Weights!$H$7)+(Weights!$D$6*($C14/100)-(0.1)+G$5/$S$5*10)*Weights!J$6)*$G$3)</f>
        <v>91.383082352941202</v>
      </c>
      <c r="H14" s="2">
        <f>IF($C14=0,0,((Weights!$D$6*($C14/100)-(0.1)+H$5/$S$5*10)+(Weights!$D$6*($C14/100)-(0.1)+H$5/$S$5*10)*((Inputs!$F$16/100)*Weights!$H$7)+(Weights!$D$6*($C14/100)-(0.1)+H$5/$S$5*10)*Weights!K$6)*$G$3)</f>
        <v>91.836023529411776</v>
      </c>
      <c r="I14" s="2">
        <f>IF($C14=0,0,((Weights!$D$6*($C14/100)-(0.1)+I$5/$S$5*10)+(Weights!$D$6*($C14/100)-(0.1)+I$5/$S$5*10)*((Inputs!$F$16/100)*Weights!$H$7)+(Weights!$D$6*($C14/100)-(0.1)+I$5/$S$5*10)*Weights!L$6)*$G$3)</f>
        <v>92.159552941176486</v>
      </c>
      <c r="J14" s="2">
        <f>IF($C14=0,0,((Weights!$D$6*($C14/100)-(0.1)+J$5/$S$5*10)+(Weights!$D$6*($C14/100)-(0.1)+J$5/$S$5*10)*((Inputs!$F$16/100)*Weights!$H$7)+(Weights!$D$6*($C14/100)-(0.1)+J$5/$S$5*10)*Weights!M$6)*$G$3)</f>
        <v>92.612494117647074</v>
      </c>
      <c r="K14" s="2">
        <f>IF($C14=0,0,((Weights!$D$6*($C14/100)-(0.1)+K$5/$S$5*10)+(Weights!$D$6*($C14/100)-(0.1)+K$5/$S$5*10)*((Inputs!$F$16/100)*Weights!$H$7)+(Weights!$D$6*($C14/100)-(0.1)+K$5/$S$5*10)*Weights!N$6)*$G$3)</f>
        <v>93.453670588235312</v>
      </c>
      <c r="L14" s="2">
        <f>IF($C14=0,0,((Weights!$D$6*($C14/100)-(0.1)+L$5/$S$5*10)+(Weights!$D$6*($C14/100)-(0.1)+L$5/$S$5*10)*((Inputs!$F$16/100)*Weights!$H$7)+(Weights!$D$6*($C14/100)-(0.1)+L$5/$S$5*10)*Weights!O$6)*$G$3)</f>
        <v>94.230141176470596</v>
      </c>
      <c r="M14" s="2">
        <f>IF($C14=0,0,((Weights!$D$6*($C14/100)-(0.1)+M$5/$S$5*10)+(Weights!$D$6*($C14/100)-(0.1)+M$5/$S$5*10)*((Inputs!$F$16/100)*Weights!$H$7)+(Weights!$D$6*($C14/100)-(0.1)+M$5/$S$5*10)*Weights!P$6)*$G$3)</f>
        <v>95.071317647058834</v>
      </c>
      <c r="N14" s="2">
        <f>IF($C14=0,0,((Weights!$D$6*($C14/100)-(0.1)+N$5/$S$5*10)+(Weights!$D$6*($C14/100)-(0.1)+N$5/$S$5*10)*((Inputs!$F$16/100)*Weights!$H$7)+(Weights!$D$6*($C14/100)-(0.1)+N$5/$S$5*10)*Weights!Q$6)*$G$3)</f>
        <v>95.847788235294132</v>
      </c>
      <c r="O14" s="2">
        <f>IF($C14=0,0,((Weights!$D$6*($C14/100)-(0.1)+O$5/$S$5*10)+(Weights!$D$6*($C14/100)-(0.1)+O$5/$S$5*10)*((Inputs!$F$16/100)*Weights!$H$7)+(Weights!$D$6*($C14/100)-(0.1)+O$5/$S$5*10)*Weights!R$6)*$G$3)</f>
        <v>96.68896470588237</v>
      </c>
      <c r="P14" s="2">
        <f>IF($C14=0,0,((Weights!$D$6*($C14/100)-(0.1)+P$5/$S$5*10)+(Weights!$D$6*($C14/100)-(0.1)+P$5/$S$5*10)*((Inputs!$F$16/100)*Weights!$H$7)+(Weights!$D$6*($C14/100)-(0.1)+P$5/$S$5*10)*Weights!S$6)*$G$3)</f>
        <v>97.465435294117668</v>
      </c>
      <c r="Q14" s="2">
        <f>IF($C14=0,0,((Weights!$D$6*($C14/100)-(0.1)+Q$5/$S$5*10)+(Weights!$D$6*($C14/100)-(0.1)+Q$5/$S$5*10)*((Inputs!$F$16/100)*Weights!$H$7)+(Weights!$D$6*($C14/100)-(0.1)+Q$5/$S$5*10)*Weights!T$6)*$G$3)</f>
        <v>98.306611764705906</v>
      </c>
      <c r="R14" s="2">
        <f>IF($C14=0,0,((Weights!$D$6*($C14/100)-(0.1)+R$5/$S$5*10)+(Weights!$D$6*($C14/100)-(0.1)+R$5/$S$5*10)*((Inputs!$F$16/100)*Weights!$H$7)+(Weights!$D$6*($C14/100)-(0.1)+R$5/$S$5*10)*Weights!U$6)*$G$3)</f>
        <v>99.083082352941204</v>
      </c>
      <c r="S14" s="2">
        <f>IF($C14=0,0,((Weights!$D$6*($C14/100)-(0.1)+S$5/$S$5*10)+(Weights!$D$6*($C14/100)-(0.1)+S$5/$S$5*10)*((Inputs!$F$16/100)*Weights!$H$7)+(Weights!$D$6*($C14/100)-(0.1)+S$5/$S$5*10)*Weights!V$6)*$G$3)</f>
        <v>100.37720000000002</v>
      </c>
    </row>
    <row r="15" spans="2:19" x14ac:dyDescent="0.25">
      <c r="C15" s="1">
        <f>Inputs!F29</f>
        <v>50</v>
      </c>
      <c r="D15" s="2">
        <f>IF($C15=0,0,((Weights!$D$6*($C15/100)-(0.1)+D$5/$S$5*10)+(Weights!$D$6*($C15/100)-(0.1)+D$5/$S$5*10)*((Inputs!$F$16/100)*Weights!$H$7)+(Weights!$D$6*($C15/100)-(0.1)+D$5/$S$5*10)*Weights!G$6)*$G$3)</f>
        <v>112.71958823529413</v>
      </c>
      <c r="E15" s="2">
        <f>IF($C15=0,0,((Weights!$D$6*($C15/100)-(0.1)+E$5/$S$5*10)+(Weights!$D$6*($C15/100)-(0.1)+E$5/$S$5*10)*((Inputs!$F$16/100)*Weights!$H$7)+(Weights!$D$6*($C15/100)-(0.1)+E$5/$S$5*10)*Weights!H$6)*$G$3)</f>
        <v>113.04311764705884</v>
      </c>
      <c r="F15" s="2">
        <f>IF($C15=0,0,((Weights!$D$6*($C15/100)-(0.1)+F$5/$S$5*10)+(Weights!$D$6*($C15/100)-(0.1)+F$5/$S$5*10)*((Inputs!$F$16/100)*Weights!$H$7)+(Weights!$D$6*($C15/100)-(0.1)+F$5/$S$5*10)*Weights!I$6)*$G$3)</f>
        <v>113.36664705882355</v>
      </c>
      <c r="G15" s="2">
        <f>IF($C15=0,0,((Weights!$D$6*($C15/100)-(0.1)+G$5/$S$5*10)+(Weights!$D$6*($C15/100)-(0.1)+G$5/$S$5*10)*((Inputs!$F$16/100)*Weights!$H$7)+(Weights!$D$6*($C15/100)-(0.1)+G$5/$S$5*10)*Weights!J$6)*$G$3)</f>
        <v>113.75488235294119</v>
      </c>
      <c r="H15" s="2">
        <f>IF($C15=0,0,((Weights!$D$6*($C15/100)-(0.1)+H$5/$S$5*10)+(Weights!$D$6*($C15/100)-(0.1)+H$5/$S$5*10)*((Inputs!$F$16/100)*Weights!$H$7)+(Weights!$D$6*($C15/100)-(0.1)+H$5/$S$5*10)*Weights!K$6)*$G$3)</f>
        <v>114.20782352941178</v>
      </c>
      <c r="I15" s="2">
        <f>IF($C15=0,0,((Weights!$D$6*($C15/100)-(0.1)+I$5/$S$5*10)+(Weights!$D$6*($C15/100)-(0.1)+I$5/$S$5*10)*((Inputs!$F$16/100)*Weights!$H$7)+(Weights!$D$6*($C15/100)-(0.1)+I$5/$S$5*10)*Weights!L$6)*$G$3)</f>
        <v>114.53135294117648</v>
      </c>
      <c r="J15" s="2">
        <f>IF($C15=0,0,((Weights!$D$6*($C15/100)-(0.1)+J$5/$S$5*10)+(Weights!$D$6*($C15/100)-(0.1)+J$5/$S$5*10)*((Inputs!$F$16/100)*Weights!$H$7)+(Weights!$D$6*($C15/100)-(0.1)+J$5/$S$5*10)*Weights!M$6)*$G$3)</f>
        <v>114.98429411764707</v>
      </c>
      <c r="K15" s="2">
        <f>IF($C15=0,0,((Weights!$D$6*($C15/100)-(0.1)+K$5/$S$5*10)+(Weights!$D$6*($C15/100)-(0.1)+K$5/$S$5*10)*((Inputs!$F$16/100)*Weights!$H$7)+(Weights!$D$6*($C15/100)-(0.1)+K$5/$S$5*10)*Weights!N$6)*$G$3)</f>
        <v>115.82547058823531</v>
      </c>
      <c r="L15" s="2">
        <f>IF($C15=0,0,((Weights!$D$6*($C15/100)-(0.1)+L$5/$S$5*10)+(Weights!$D$6*($C15/100)-(0.1)+L$5/$S$5*10)*((Inputs!$F$16/100)*Weights!$H$7)+(Weights!$D$6*($C15/100)-(0.1)+L$5/$S$5*10)*Weights!O$6)*$G$3)</f>
        <v>116.60194117647059</v>
      </c>
      <c r="M15" s="2">
        <f>IF($C15=0,0,((Weights!$D$6*($C15/100)-(0.1)+M$5/$S$5*10)+(Weights!$D$6*($C15/100)-(0.1)+M$5/$S$5*10)*((Inputs!$F$16/100)*Weights!$H$7)+(Weights!$D$6*($C15/100)-(0.1)+M$5/$S$5*10)*Weights!P$6)*$G$3)</f>
        <v>117.44311764705883</v>
      </c>
      <c r="N15" s="2">
        <f>IF($C15=0,0,((Weights!$D$6*($C15/100)-(0.1)+N$5/$S$5*10)+(Weights!$D$6*($C15/100)-(0.1)+N$5/$S$5*10)*((Inputs!$F$16/100)*Weights!$H$7)+(Weights!$D$6*($C15/100)-(0.1)+N$5/$S$5*10)*Weights!Q$6)*$G$3)</f>
        <v>118.21958823529413</v>
      </c>
      <c r="O15" s="2">
        <f>IF($C15=0,0,((Weights!$D$6*($C15/100)-(0.1)+O$5/$S$5*10)+(Weights!$D$6*($C15/100)-(0.1)+O$5/$S$5*10)*((Inputs!$F$16/100)*Weights!$H$7)+(Weights!$D$6*($C15/100)-(0.1)+O$5/$S$5*10)*Weights!R$6)*$G$3)</f>
        <v>119.06076470588236</v>
      </c>
      <c r="P15" s="2">
        <f>IF($C15=0,0,((Weights!$D$6*($C15/100)-(0.1)+P$5/$S$5*10)+(Weights!$D$6*($C15/100)-(0.1)+P$5/$S$5*10)*((Inputs!$F$16/100)*Weights!$H$7)+(Weights!$D$6*($C15/100)-(0.1)+P$5/$S$5*10)*Weights!S$6)*$G$3)</f>
        <v>119.83723529411766</v>
      </c>
      <c r="Q15" s="2">
        <f>IF($C15=0,0,((Weights!$D$6*($C15/100)-(0.1)+Q$5/$S$5*10)+(Weights!$D$6*($C15/100)-(0.1)+Q$5/$S$5*10)*((Inputs!$F$16/100)*Weights!$H$7)+(Weights!$D$6*($C15/100)-(0.1)+Q$5/$S$5*10)*Weights!T$6)*$G$3)</f>
        <v>120.6784117647059</v>
      </c>
      <c r="R15" s="2">
        <f>IF($C15=0,0,((Weights!$D$6*($C15/100)-(0.1)+R$5/$S$5*10)+(Weights!$D$6*($C15/100)-(0.1)+R$5/$S$5*10)*((Inputs!$F$16/100)*Weights!$H$7)+(Weights!$D$6*($C15/100)-(0.1)+R$5/$S$5*10)*Weights!U$6)*$G$3)</f>
        <v>121.4548823529412</v>
      </c>
      <c r="S15" s="2">
        <f>IF($C15=0,0,((Weights!$D$6*($C15/100)-(0.1)+S$5/$S$5*10)+(Weights!$D$6*($C15/100)-(0.1)+S$5/$S$5*10)*((Inputs!$F$16/100)*Weights!$H$7)+(Weights!$D$6*($C15/100)-(0.1)+S$5/$S$5*10)*Weights!V$6)*$G$3)</f>
        <v>122.74900000000001</v>
      </c>
    </row>
    <row r="16" spans="2:19" x14ac:dyDescent="0.25">
      <c r="C16" s="1">
        <f>Inputs!F30</f>
        <v>60</v>
      </c>
      <c r="D16" s="2">
        <f>IF($C16=0,0,((Weights!$D$6*($C16/100)-(0.1)+D$5/$S$5*10)+(Weights!$D$6*($C16/100)-(0.1)+D$5/$S$5*10)*((Inputs!$F$16/100)*Weights!$H$7)+(Weights!$D$6*($C16/100)-(0.1)+D$5/$S$5*10)*Weights!G$6)*$G$3)</f>
        <v>135.09138823529412</v>
      </c>
      <c r="E16" s="2">
        <f>IF($C16=0,0,((Weights!$D$6*($C16/100)-(0.1)+E$5/$S$5*10)+(Weights!$D$6*($C16/100)-(0.1)+E$5/$S$5*10)*((Inputs!$F$16/100)*Weights!$H$7)+(Weights!$D$6*($C16/100)-(0.1)+E$5/$S$5*10)*Weights!H$6)*$G$3)</f>
        <v>135.41491764705881</v>
      </c>
      <c r="F16" s="2">
        <f>IF($C16=0,0,((Weights!$D$6*($C16/100)-(0.1)+F$5/$S$5*10)+(Weights!$D$6*($C16/100)-(0.1)+F$5/$S$5*10)*((Inputs!$F$16/100)*Weights!$H$7)+(Weights!$D$6*($C16/100)-(0.1)+F$5/$S$5*10)*Weights!I$6)*$G$3)</f>
        <v>135.73844705882354</v>
      </c>
      <c r="G16" s="2">
        <f>IF($C16=0,0,((Weights!$D$6*($C16/100)-(0.1)+G$5/$S$5*10)+(Weights!$D$6*($C16/100)-(0.1)+G$5/$S$5*10)*((Inputs!$F$16/100)*Weights!$H$7)+(Weights!$D$6*($C16/100)-(0.1)+G$5/$S$5*10)*Weights!J$6)*$G$3)</f>
        <v>136.1266823529412</v>
      </c>
      <c r="H16" s="2">
        <f>IF($C16=0,0,((Weights!$D$6*($C16/100)-(0.1)+H$5/$S$5*10)+(Weights!$D$6*($C16/100)-(0.1)+H$5/$S$5*10)*((Inputs!$F$16/100)*Weights!$H$7)+(Weights!$D$6*($C16/100)-(0.1)+H$5/$S$5*10)*Weights!K$6)*$G$3)</f>
        <v>136.57962352941178</v>
      </c>
      <c r="I16" s="2">
        <f>IF($C16=0,0,((Weights!$D$6*($C16/100)-(0.1)+I$5/$S$5*10)+(Weights!$D$6*($C16/100)-(0.1)+I$5/$S$5*10)*((Inputs!$F$16/100)*Weights!$H$7)+(Weights!$D$6*($C16/100)-(0.1)+I$5/$S$5*10)*Weights!L$6)*$G$3)</f>
        <v>136.90315294117647</v>
      </c>
      <c r="J16" s="2">
        <f>IF($C16=0,0,((Weights!$D$6*($C16/100)-(0.1)+J$5/$S$5*10)+(Weights!$D$6*($C16/100)-(0.1)+J$5/$S$5*10)*((Inputs!$F$16/100)*Weights!$H$7)+(Weights!$D$6*($C16/100)-(0.1)+J$5/$S$5*10)*Weights!M$6)*$G$3)</f>
        <v>137.35609411764707</v>
      </c>
      <c r="K16" s="2">
        <f>IF($C16=0,0,((Weights!$D$6*($C16/100)-(0.1)+K$5/$S$5*10)+(Weights!$D$6*($C16/100)-(0.1)+K$5/$S$5*10)*((Inputs!$F$16/100)*Weights!$H$7)+(Weights!$D$6*($C16/100)-(0.1)+K$5/$S$5*10)*Weights!N$6)*$G$3)</f>
        <v>138.19727058823531</v>
      </c>
      <c r="L16" s="2">
        <f>IF($C16=0,0,((Weights!$D$6*($C16/100)-(0.1)+L$5/$S$5*10)+(Weights!$D$6*($C16/100)-(0.1)+L$5/$S$5*10)*((Inputs!$F$16/100)*Weights!$H$7)+(Weights!$D$6*($C16/100)-(0.1)+L$5/$S$5*10)*Weights!O$6)*$G$3)</f>
        <v>138.97374117647058</v>
      </c>
      <c r="M16" s="2">
        <f>IF($C16=0,0,((Weights!$D$6*($C16/100)-(0.1)+M$5/$S$5*10)+(Weights!$D$6*($C16/100)-(0.1)+M$5/$S$5*10)*((Inputs!$F$16/100)*Weights!$H$7)+(Weights!$D$6*($C16/100)-(0.1)+M$5/$S$5*10)*Weights!P$6)*$G$3)</f>
        <v>139.81491764705882</v>
      </c>
      <c r="N16" s="2">
        <f>IF($C16=0,0,((Weights!$D$6*($C16/100)-(0.1)+N$5/$S$5*10)+(Weights!$D$6*($C16/100)-(0.1)+N$5/$S$5*10)*((Inputs!$F$16/100)*Weights!$H$7)+(Weights!$D$6*($C16/100)-(0.1)+N$5/$S$5*10)*Weights!Q$6)*$G$3)</f>
        <v>140.59138823529412</v>
      </c>
      <c r="O16" s="2">
        <f>IF($C16=0,0,((Weights!$D$6*($C16/100)-(0.1)+O$5/$S$5*10)+(Weights!$D$6*($C16/100)-(0.1)+O$5/$S$5*10)*((Inputs!$F$16/100)*Weights!$H$7)+(Weights!$D$6*($C16/100)-(0.1)+O$5/$S$5*10)*Weights!R$6)*$G$3)</f>
        <v>141.43256470588238</v>
      </c>
      <c r="P16" s="2">
        <f>IF($C16=0,0,((Weights!$D$6*($C16/100)-(0.1)+P$5/$S$5*10)+(Weights!$D$6*($C16/100)-(0.1)+P$5/$S$5*10)*((Inputs!$F$16/100)*Weights!$H$7)+(Weights!$D$6*($C16/100)-(0.1)+P$5/$S$5*10)*Weights!S$6)*$G$3)</f>
        <v>142.20903529411765</v>
      </c>
      <c r="Q16" s="2">
        <f>IF($C16=0,0,((Weights!$D$6*($C16/100)-(0.1)+Q$5/$S$5*10)+(Weights!$D$6*($C16/100)-(0.1)+Q$5/$S$5*10)*((Inputs!$F$16/100)*Weights!$H$7)+(Weights!$D$6*($C16/100)-(0.1)+Q$5/$S$5*10)*Weights!T$6)*$G$3)</f>
        <v>143.05021176470589</v>
      </c>
      <c r="R16" s="2">
        <f>IF($C16=0,0,((Weights!$D$6*($C16/100)-(0.1)+R$5/$S$5*10)+(Weights!$D$6*($C16/100)-(0.1)+R$5/$S$5*10)*((Inputs!$F$16/100)*Weights!$H$7)+(Weights!$D$6*($C16/100)-(0.1)+R$5/$S$5*10)*Weights!U$6)*$G$3)</f>
        <v>143.82668235294116</v>
      </c>
      <c r="S16" s="2">
        <f>IF($C16=0,0,((Weights!$D$6*($C16/100)-(0.1)+S$5/$S$5*10)+(Weights!$D$6*($C16/100)-(0.1)+S$5/$S$5*10)*((Inputs!$F$16/100)*Weights!$H$7)+(Weights!$D$6*($C16/100)-(0.1)+S$5/$S$5*10)*Weights!V$6)*$G$3)</f>
        <v>145.1208</v>
      </c>
    </row>
    <row r="17" spans="2:19" x14ac:dyDescent="0.25">
      <c r="C17" s="1">
        <f>Inputs!F31</f>
        <v>70</v>
      </c>
      <c r="D17" s="2">
        <f>IF($C17=0,0,((Weights!$D$6*($C17/100)-(0.1)+D$5/$S$5*10)+(Weights!$D$6*($C17/100)-(0.1)+D$5/$S$5*10)*((Inputs!$F$16/100)*Weights!$H$7)+(Weights!$D$6*($C17/100)-(0.1)+D$5/$S$5*10)*Weights!G$6)*$G$3)</f>
        <v>157.46318823529413</v>
      </c>
      <c r="E17" s="2">
        <f>IF($C17=0,0,((Weights!$D$6*($C17/100)-(0.1)+E$5/$S$5*10)+(Weights!$D$6*($C17/100)-(0.1)+E$5/$S$5*10)*((Inputs!$F$16/100)*Weights!$H$7)+(Weights!$D$6*($C17/100)-(0.1)+E$5/$S$5*10)*Weights!H$6)*$G$3)</f>
        <v>157.78671764705885</v>
      </c>
      <c r="F17" s="2">
        <f>IF($C17=0,0,((Weights!$D$6*($C17/100)-(0.1)+F$5/$S$5*10)+(Weights!$D$6*($C17/100)-(0.1)+F$5/$S$5*10)*((Inputs!$F$16/100)*Weights!$H$7)+(Weights!$D$6*($C17/100)-(0.1)+F$5/$S$5*10)*Weights!I$6)*$G$3)</f>
        <v>158.11024705882352</v>
      </c>
      <c r="G17" s="2">
        <f>IF($C17=0,0,((Weights!$D$6*($C17/100)-(0.1)+G$5/$S$5*10)+(Weights!$D$6*($C17/100)-(0.1)+G$5/$S$5*10)*((Inputs!$F$16/100)*Weights!$H$7)+(Weights!$D$6*($C17/100)-(0.1)+G$5/$S$5*10)*Weights!J$6)*$G$3)</f>
        <v>158.49848235294118</v>
      </c>
      <c r="H17" s="2">
        <f>IF($C17=0,0,((Weights!$D$6*($C17/100)-(0.1)+H$5/$S$5*10)+(Weights!$D$6*($C17/100)-(0.1)+H$5/$S$5*10)*((Inputs!$F$16/100)*Weights!$H$7)+(Weights!$D$6*($C17/100)-(0.1)+H$5/$S$5*10)*Weights!K$6)*$G$3)</f>
        <v>158.95142352941178</v>
      </c>
      <c r="I17" s="2">
        <f>IF($C17=0,0,((Weights!$D$6*($C17/100)-(0.1)+I$5/$S$5*10)+(Weights!$D$6*($C17/100)-(0.1)+I$5/$S$5*10)*((Inputs!$F$16/100)*Weights!$H$7)+(Weights!$D$6*($C17/100)-(0.1)+I$5/$S$5*10)*Weights!L$6)*$G$3)</f>
        <v>159.27495294117648</v>
      </c>
      <c r="J17" s="2">
        <f>IF($C17=0,0,((Weights!$D$6*($C17/100)-(0.1)+J$5/$S$5*10)+(Weights!$D$6*($C17/100)-(0.1)+J$5/$S$5*10)*((Inputs!$F$16/100)*Weights!$H$7)+(Weights!$D$6*($C17/100)-(0.1)+J$5/$S$5*10)*Weights!M$6)*$G$3)</f>
        <v>159.72789411764705</v>
      </c>
      <c r="K17" s="2">
        <f>IF($C17=0,0,((Weights!$D$6*($C17/100)-(0.1)+K$5/$S$5*10)+(Weights!$D$6*($C17/100)-(0.1)+K$5/$S$5*10)*((Inputs!$F$16/100)*Weights!$H$7)+(Weights!$D$6*($C17/100)-(0.1)+K$5/$S$5*10)*Weights!N$6)*$G$3)</f>
        <v>160.56907058823532</v>
      </c>
      <c r="L17" s="2">
        <f>IF($C17=0,0,((Weights!$D$6*($C17/100)-(0.1)+L$5/$S$5*10)+(Weights!$D$6*($C17/100)-(0.1)+L$5/$S$5*10)*((Inputs!$F$16/100)*Weights!$H$7)+(Weights!$D$6*($C17/100)-(0.1)+L$5/$S$5*10)*Weights!O$6)*$G$3)</f>
        <v>161.34554117647059</v>
      </c>
      <c r="M17" s="2">
        <f>IF($C17=0,0,((Weights!$D$6*($C17/100)-(0.1)+M$5/$S$5*10)+(Weights!$D$6*($C17/100)-(0.1)+M$5/$S$5*10)*((Inputs!$F$16/100)*Weights!$H$7)+(Weights!$D$6*($C17/100)-(0.1)+M$5/$S$5*10)*Weights!P$6)*$G$3)</f>
        <v>162.18671764705883</v>
      </c>
      <c r="N17" s="2">
        <f>IF($C17=0,0,((Weights!$D$6*($C17/100)-(0.1)+N$5/$S$5*10)+(Weights!$D$6*($C17/100)-(0.1)+N$5/$S$5*10)*((Inputs!$F$16/100)*Weights!$H$7)+(Weights!$D$6*($C17/100)-(0.1)+N$5/$S$5*10)*Weights!Q$6)*$G$3)</f>
        <v>162.96318823529413</v>
      </c>
      <c r="O17" s="2">
        <f>IF($C17=0,0,((Weights!$D$6*($C17/100)-(0.1)+O$5/$S$5*10)+(Weights!$D$6*($C17/100)-(0.1)+O$5/$S$5*10)*((Inputs!$F$16/100)*Weights!$H$7)+(Weights!$D$6*($C17/100)-(0.1)+O$5/$S$5*10)*Weights!R$6)*$G$3)</f>
        <v>163.80436470588236</v>
      </c>
      <c r="P17" s="2">
        <f>IF($C17=0,0,((Weights!$D$6*($C17/100)-(0.1)+P$5/$S$5*10)+(Weights!$D$6*($C17/100)-(0.1)+P$5/$S$5*10)*((Inputs!$F$16/100)*Weights!$H$7)+(Weights!$D$6*($C17/100)-(0.1)+P$5/$S$5*10)*Weights!S$6)*$G$3)</f>
        <v>164.58083529411763</v>
      </c>
      <c r="Q17" s="2">
        <f>IF($C17=0,0,((Weights!$D$6*($C17/100)-(0.1)+Q$5/$S$5*10)+(Weights!$D$6*($C17/100)-(0.1)+Q$5/$S$5*10)*((Inputs!$F$16/100)*Weights!$H$7)+(Weights!$D$6*($C17/100)-(0.1)+Q$5/$S$5*10)*Weights!T$6)*$G$3)</f>
        <v>165.4220117647059</v>
      </c>
      <c r="R17" s="2">
        <f>IF($C17=0,0,((Weights!$D$6*($C17/100)-(0.1)+R$5/$S$5*10)+(Weights!$D$6*($C17/100)-(0.1)+R$5/$S$5*10)*((Inputs!$F$16/100)*Weights!$H$7)+(Weights!$D$6*($C17/100)-(0.1)+R$5/$S$5*10)*Weights!U$6)*$G$3)</f>
        <v>166.19848235294117</v>
      </c>
      <c r="S17" s="2">
        <f>IF($C17=0,0,((Weights!$D$6*($C17/100)-(0.1)+S$5/$S$5*10)+(Weights!$D$6*($C17/100)-(0.1)+S$5/$S$5*10)*((Inputs!$F$16/100)*Weights!$H$7)+(Weights!$D$6*($C17/100)-(0.1)+S$5/$S$5*10)*Weights!V$6)*$G$3)</f>
        <v>167.49260000000001</v>
      </c>
    </row>
    <row r="18" spans="2:19" x14ac:dyDescent="0.25">
      <c r="C18" s="1">
        <f>Inputs!F32</f>
        <v>75</v>
      </c>
      <c r="D18" s="2">
        <f>IF($C18=0,0,((Weights!$D$6*($C18/100)-(0.1)+D$5/$S$5*10)+(Weights!$D$6*($C18/100)-(0.1)+D$5/$S$5*10)*((Inputs!$F$16/100)*Weights!$H$7)+(Weights!$D$6*($C18/100)-(0.1)+D$5/$S$5*10)*Weights!G$6)*$G$3)</f>
        <v>168.64908823529413</v>
      </c>
      <c r="E18" s="2">
        <f>IF($C18=0,0,((Weights!$D$6*($C18/100)-(0.1)+E$5/$S$5*10)+(Weights!$D$6*($C18/100)-(0.1)+E$5/$S$5*10)*((Inputs!$F$16/100)*Weights!$H$7)+(Weights!$D$6*($C18/100)-(0.1)+E$5/$S$5*10)*Weights!H$6)*$G$3)</f>
        <v>168.97261764705885</v>
      </c>
      <c r="F18" s="2">
        <f>IF($C18=0,0,((Weights!$D$6*($C18/100)-(0.1)+F$5/$S$5*10)+(Weights!$D$6*($C18/100)-(0.1)+F$5/$S$5*10)*((Inputs!$F$16/100)*Weights!$H$7)+(Weights!$D$6*($C18/100)-(0.1)+F$5/$S$5*10)*Weights!I$6)*$G$3)</f>
        <v>169.29614705882355</v>
      </c>
      <c r="G18" s="2">
        <f>IF($C18=0,0,((Weights!$D$6*($C18/100)-(0.1)+G$5/$S$5*10)+(Weights!$D$6*($C18/100)-(0.1)+G$5/$S$5*10)*((Inputs!$F$16/100)*Weights!$H$7)+(Weights!$D$6*($C18/100)-(0.1)+G$5/$S$5*10)*Weights!J$6)*$G$3)</f>
        <v>169.68438235294118</v>
      </c>
      <c r="H18" s="2">
        <f>IF($C18=0,0,((Weights!$D$6*($C18/100)-(0.1)+H$5/$S$5*10)+(Weights!$D$6*($C18/100)-(0.1)+H$5/$S$5*10)*((Inputs!$F$16/100)*Weights!$H$7)+(Weights!$D$6*($C18/100)-(0.1)+H$5/$S$5*10)*Weights!K$6)*$G$3)</f>
        <v>170.13732352941179</v>
      </c>
      <c r="I18" s="2">
        <f>IF($C18=0,0,((Weights!$D$6*($C18/100)-(0.1)+I$5/$S$5*10)+(Weights!$D$6*($C18/100)-(0.1)+I$5/$S$5*10)*((Inputs!$F$16/100)*Weights!$H$7)+(Weights!$D$6*($C18/100)-(0.1)+I$5/$S$5*10)*Weights!L$6)*$G$3)</f>
        <v>170.46085294117648</v>
      </c>
      <c r="J18" s="2">
        <f>IF($C18=0,0,((Weights!$D$6*($C18/100)-(0.1)+J$5/$S$5*10)+(Weights!$D$6*($C18/100)-(0.1)+J$5/$S$5*10)*((Inputs!$F$16/100)*Weights!$H$7)+(Weights!$D$6*($C18/100)-(0.1)+J$5/$S$5*10)*Weights!M$6)*$G$3)</f>
        <v>170.91379411764706</v>
      </c>
      <c r="K18" s="2">
        <f>IF($C18=0,0,((Weights!$D$6*($C18/100)-(0.1)+K$5/$S$5*10)+(Weights!$D$6*($C18/100)-(0.1)+K$5/$S$5*10)*((Inputs!$F$16/100)*Weights!$H$7)+(Weights!$D$6*($C18/100)-(0.1)+K$5/$S$5*10)*Weights!N$6)*$G$3)</f>
        <v>171.75497058823532</v>
      </c>
      <c r="L18" s="2">
        <f>IF($C18=0,0,((Weights!$D$6*($C18/100)-(0.1)+L$5/$S$5*10)+(Weights!$D$6*($C18/100)-(0.1)+L$5/$S$5*10)*((Inputs!$F$16/100)*Weights!$H$7)+(Weights!$D$6*($C18/100)-(0.1)+L$5/$S$5*10)*Weights!O$6)*$G$3)</f>
        <v>172.53144117647059</v>
      </c>
      <c r="M18" s="2">
        <f>IF($C18=0,0,((Weights!$D$6*($C18/100)-(0.1)+M$5/$S$5*10)+(Weights!$D$6*($C18/100)-(0.1)+M$5/$S$5*10)*((Inputs!$F$16/100)*Weights!$H$7)+(Weights!$D$6*($C18/100)-(0.1)+M$5/$S$5*10)*Weights!P$6)*$G$3)</f>
        <v>173.37261764705886</v>
      </c>
      <c r="N18" s="2">
        <f>IF($C18=0,0,((Weights!$D$6*($C18/100)-(0.1)+N$5/$S$5*10)+(Weights!$D$6*($C18/100)-(0.1)+N$5/$S$5*10)*((Inputs!$F$16/100)*Weights!$H$7)+(Weights!$D$6*($C18/100)-(0.1)+N$5/$S$5*10)*Weights!Q$6)*$G$3)</f>
        <v>174.14908823529413</v>
      </c>
      <c r="O18" s="2">
        <f>IF($C18=0,0,((Weights!$D$6*($C18/100)-(0.1)+O$5/$S$5*10)+(Weights!$D$6*($C18/100)-(0.1)+O$5/$S$5*10)*((Inputs!$F$16/100)*Weights!$H$7)+(Weights!$D$6*($C18/100)-(0.1)+O$5/$S$5*10)*Weights!R$6)*$G$3)</f>
        <v>174.99026470588237</v>
      </c>
      <c r="P18" s="2">
        <f>IF($C18=0,0,((Weights!$D$6*($C18/100)-(0.1)+P$5/$S$5*10)+(Weights!$D$6*($C18/100)-(0.1)+P$5/$S$5*10)*((Inputs!$F$16/100)*Weights!$H$7)+(Weights!$D$6*($C18/100)-(0.1)+P$5/$S$5*10)*Weights!S$6)*$G$3)</f>
        <v>175.76673529411767</v>
      </c>
      <c r="Q18" s="2">
        <f>IF($C18=0,0,((Weights!$D$6*($C18/100)-(0.1)+Q$5/$S$5*10)+(Weights!$D$6*($C18/100)-(0.1)+Q$5/$S$5*10)*((Inputs!$F$16/100)*Weights!$H$7)+(Weights!$D$6*($C18/100)-(0.1)+Q$5/$S$5*10)*Weights!T$6)*$G$3)</f>
        <v>176.6079117647059</v>
      </c>
      <c r="R18" s="2">
        <f>IF($C18=0,0,((Weights!$D$6*($C18/100)-(0.1)+R$5/$S$5*10)+(Weights!$D$6*($C18/100)-(0.1)+R$5/$S$5*10)*((Inputs!$F$16/100)*Weights!$H$7)+(Weights!$D$6*($C18/100)-(0.1)+R$5/$S$5*10)*Weights!U$6)*$G$3)</f>
        <v>177.38438235294117</v>
      </c>
      <c r="S18" s="2">
        <f>IF($C18=0,0,((Weights!$D$6*($C18/100)-(0.1)+S$5/$S$5*10)+(Weights!$D$6*($C18/100)-(0.1)+S$5/$S$5*10)*((Inputs!$F$16/100)*Weights!$H$7)+(Weights!$D$6*($C18/100)-(0.1)+S$5/$S$5*10)*Weights!V$6)*$G$3)</f>
        <v>178.67850000000001</v>
      </c>
    </row>
    <row r="19" spans="2:19" x14ac:dyDescent="0.25">
      <c r="C19" s="1">
        <f>Inputs!F33</f>
        <v>80</v>
      </c>
      <c r="D19" s="2">
        <f>IF($C19=0,0,((Weights!$D$6*($C19/100)-(0.1)+D$5/$S$5*10)+(Weights!$D$6*($C19/100)-(0.1)+D$5/$S$5*10)*((Inputs!$F$16/100)*Weights!$H$7)+(Weights!$D$6*($C19/100)-(0.1)+D$5/$S$5*10)*Weights!G$6)*$G$3)</f>
        <v>179.83498823529413</v>
      </c>
      <c r="E19" s="2">
        <f>IF($C19=0,0,((Weights!$D$6*($C19/100)-(0.1)+E$5/$S$5*10)+(Weights!$D$6*($C19/100)-(0.1)+E$5/$S$5*10)*((Inputs!$F$16/100)*Weights!$H$7)+(Weights!$D$6*($C19/100)-(0.1)+E$5/$S$5*10)*Weights!H$6)*$G$3)</f>
        <v>180.15851764705886</v>
      </c>
      <c r="F19" s="2">
        <f>IF($C19=0,0,((Weights!$D$6*($C19/100)-(0.1)+F$5/$S$5*10)+(Weights!$D$6*($C19/100)-(0.1)+F$5/$S$5*10)*((Inputs!$F$16/100)*Weights!$H$7)+(Weights!$D$6*($C19/100)-(0.1)+F$5/$S$5*10)*Weights!I$6)*$G$3)</f>
        <v>180.48204705882355</v>
      </c>
      <c r="G19" s="2">
        <f>IF($C19=0,0,((Weights!$D$6*($C19/100)-(0.1)+G$5/$S$5*10)+(Weights!$D$6*($C19/100)-(0.1)+G$5/$S$5*10)*((Inputs!$F$16/100)*Weights!$H$7)+(Weights!$D$6*($C19/100)-(0.1)+G$5/$S$5*10)*Weights!J$6)*$G$3)</f>
        <v>180.87028235294119</v>
      </c>
      <c r="H19" s="2">
        <f>IF($C19=0,0,((Weights!$D$6*($C19/100)-(0.1)+H$5/$S$5*10)+(Weights!$D$6*($C19/100)-(0.1)+H$5/$S$5*10)*((Inputs!$F$16/100)*Weights!$H$7)+(Weights!$D$6*($C19/100)-(0.1)+H$5/$S$5*10)*Weights!K$6)*$G$3)</f>
        <v>181.32322352941182</v>
      </c>
      <c r="I19" s="2">
        <f>IF($C19=0,0,((Weights!$D$6*($C19/100)-(0.1)+I$5/$S$5*10)+(Weights!$D$6*($C19/100)-(0.1)+I$5/$S$5*10)*((Inputs!$F$16/100)*Weights!$H$7)+(Weights!$D$6*($C19/100)-(0.1)+I$5/$S$5*10)*Weights!L$6)*$G$3)</f>
        <v>181.64675294117652</v>
      </c>
      <c r="J19" s="2">
        <f>IF($C19=0,0,((Weights!$D$6*($C19/100)-(0.1)+J$5/$S$5*10)+(Weights!$D$6*($C19/100)-(0.1)+J$5/$S$5*10)*((Inputs!$F$16/100)*Weights!$H$7)+(Weights!$D$6*($C19/100)-(0.1)+J$5/$S$5*10)*Weights!M$6)*$G$3)</f>
        <v>182.09969411764709</v>
      </c>
      <c r="K19" s="2">
        <f>IF($C19=0,0,((Weights!$D$6*($C19/100)-(0.1)+K$5/$S$5*10)+(Weights!$D$6*($C19/100)-(0.1)+K$5/$S$5*10)*((Inputs!$F$16/100)*Weights!$H$7)+(Weights!$D$6*($C19/100)-(0.1)+K$5/$S$5*10)*Weights!N$6)*$G$3)</f>
        <v>182.94087058823533</v>
      </c>
      <c r="L19" s="2">
        <f>IF($C19=0,0,((Weights!$D$6*($C19/100)-(0.1)+L$5/$S$5*10)+(Weights!$D$6*($C19/100)-(0.1)+L$5/$S$5*10)*((Inputs!$F$16/100)*Weights!$H$7)+(Weights!$D$6*($C19/100)-(0.1)+L$5/$S$5*10)*Weights!O$6)*$G$3)</f>
        <v>183.71734117647063</v>
      </c>
      <c r="M19" s="2">
        <f>IF($C19=0,0,((Weights!$D$6*($C19/100)-(0.1)+M$5/$S$5*10)+(Weights!$D$6*($C19/100)-(0.1)+M$5/$S$5*10)*((Inputs!$F$16/100)*Weights!$H$7)+(Weights!$D$6*($C19/100)-(0.1)+M$5/$S$5*10)*Weights!P$6)*$G$3)</f>
        <v>184.55851764705886</v>
      </c>
      <c r="N19" s="2">
        <f>IF($C19=0,0,((Weights!$D$6*($C19/100)-(0.1)+N$5/$S$5*10)+(Weights!$D$6*($C19/100)-(0.1)+N$5/$S$5*10)*((Inputs!$F$16/100)*Weights!$H$7)+(Weights!$D$6*($C19/100)-(0.1)+N$5/$S$5*10)*Weights!Q$6)*$G$3)</f>
        <v>185.33498823529413</v>
      </c>
      <c r="O19" s="2">
        <f>IF($C19=0,0,((Weights!$D$6*($C19/100)-(0.1)+O$5/$S$5*10)+(Weights!$D$6*($C19/100)-(0.1)+O$5/$S$5*10)*((Inputs!$F$16/100)*Weights!$H$7)+(Weights!$D$6*($C19/100)-(0.1)+O$5/$S$5*10)*Weights!R$6)*$G$3)</f>
        <v>186.1761647058824</v>
      </c>
      <c r="P19" s="2">
        <f>IF($C19=0,0,((Weights!$D$6*($C19/100)-(0.1)+P$5/$S$5*10)+(Weights!$D$6*($C19/100)-(0.1)+P$5/$S$5*10)*((Inputs!$F$16/100)*Weights!$H$7)+(Weights!$D$6*($C19/100)-(0.1)+P$5/$S$5*10)*Weights!S$6)*$G$3)</f>
        <v>186.95263529411767</v>
      </c>
      <c r="Q19" s="2">
        <f>IF($C19=0,0,((Weights!$D$6*($C19/100)-(0.1)+Q$5/$S$5*10)+(Weights!$D$6*($C19/100)-(0.1)+Q$5/$S$5*10)*((Inputs!$F$16/100)*Weights!$H$7)+(Weights!$D$6*($C19/100)-(0.1)+Q$5/$S$5*10)*Weights!T$6)*$G$3)</f>
        <v>187.79381176470591</v>
      </c>
      <c r="R19" s="2">
        <f>IF($C19=0,0,((Weights!$D$6*($C19/100)-(0.1)+R$5/$S$5*10)+(Weights!$D$6*($C19/100)-(0.1)+R$5/$S$5*10)*((Inputs!$F$16/100)*Weights!$H$7)+(Weights!$D$6*($C19/100)-(0.1)+R$5/$S$5*10)*Weights!U$6)*$G$3)</f>
        <v>188.57028235294121</v>
      </c>
      <c r="S19" s="2">
        <f>IF($C19=0,0,((Weights!$D$6*($C19/100)-(0.1)+S$5/$S$5*10)+(Weights!$D$6*($C19/100)-(0.1)+S$5/$S$5*10)*((Inputs!$F$16/100)*Weights!$H$7)+(Weights!$D$6*($C19/100)-(0.1)+S$5/$S$5*10)*Weights!V$6)*$G$3)</f>
        <v>189.86440000000002</v>
      </c>
    </row>
    <row r="20" spans="2:19" x14ac:dyDescent="0.25">
      <c r="C20" s="1">
        <f>Inputs!F34</f>
        <v>85</v>
      </c>
      <c r="D20" s="2">
        <f>IF($C20=0,0,((Weights!$D$6*($C20/100)-(0.1)+D$5/$S$5*10)+(Weights!$D$6*($C20/100)-(0.1)+D$5/$S$5*10)*((Inputs!$F$16/100)*Weights!$H$7)+(Weights!$D$6*($C20/100)-(0.1)+D$5/$S$5*10)*Weights!G$6)*$G$3)</f>
        <v>191.02088823529411</v>
      </c>
      <c r="E20" s="2">
        <f>IF($C20=0,0,((Weights!$D$6*($C20/100)-(0.1)+E$5/$S$5*10)+(Weights!$D$6*($C20/100)-(0.1)+E$5/$S$5*10)*((Inputs!$F$16/100)*Weights!$H$7)+(Weights!$D$6*($C20/100)-(0.1)+E$5/$S$5*10)*Weights!H$6)*$G$3)</f>
        <v>191.34441764705883</v>
      </c>
      <c r="F20" s="2">
        <f>IF($C20=0,0,((Weights!$D$6*($C20/100)-(0.1)+F$5/$S$5*10)+(Weights!$D$6*($C20/100)-(0.1)+F$5/$S$5*10)*((Inputs!$F$16/100)*Weights!$H$7)+(Weights!$D$6*($C20/100)-(0.1)+F$5/$S$5*10)*Weights!I$6)*$G$3)</f>
        <v>191.66794705882353</v>
      </c>
      <c r="G20" s="2">
        <f>IF($C20=0,0,((Weights!$D$6*($C20/100)-(0.1)+G$5/$S$5*10)+(Weights!$D$6*($C20/100)-(0.1)+G$5/$S$5*10)*((Inputs!$F$16/100)*Weights!$H$7)+(Weights!$D$6*($C20/100)-(0.1)+G$5/$S$5*10)*Weights!J$6)*$G$3)</f>
        <v>192.05618235294116</v>
      </c>
      <c r="H20" s="2">
        <f>IF($C20=0,0,((Weights!$D$6*($C20/100)-(0.1)+H$5/$S$5*10)+(Weights!$D$6*($C20/100)-(0.1)+H$5/$S$5*10)*((Inputs!$F$16/100)*Weights!$H$7)+(Weights!$D$6*($C20/100)-(0.1)+H$5/$S$5*10)*Weights!K$6)*$G$3)</f>
        <v>192.5091235294118</v>
      </c>
      <c r="I20" s="2">
        <f>IF($C20=0,0,((Weights!$D$6*($C20/100)-(0.1)+I$5/$S$5*10)+(Weights!$D$6*($C20/100)-(0.1)+I$5/$S$5*10)*((Inputs!$F$16/100)*Weights!$H$7)+(Weights!$D$6*($C20/100)-(0.1)+I$5/$S$5*10)*Weights!L$6)*$G$3)</f>
        <v>192.83265294117649</v>
      </c>
      <c r="J20" s="2">
        <f>IF($C20=0,0,((Weights!$D$6*($C20/100)-(0.1)+J$5/$S$5*10)+(Weights!$D$6*($C20/100)-(0.1)+J$5/$S$5*10)*((Inputs!$F$16/100)*Weights!$H$7)+(Weights!$D$6*($C20/100)-(0.1)+J$5/$S$5*10)*Weights!M$6)*$G$3)</f>
        <v>193.28559411764707</v>
      </c>
      <c r="K20" s="2">
        <f>IF($C20=0,0,((Weights!$D$6*($C20/100)-(0.1)+K$5/$S$5*10)+(Weights!$D$6*($C20/100)-(0.1)+K$5/$S$5*10)*((Inputs!$F$16/100)*Weights!$H$7)+(Weights!$D$6*($C20/100)-(0.1)+K$5/$S$5*10)*Weights!N$6)*$G$3)</f>
        <v>194.12677058823533</v>
      </c>
      <c r="L20" s="2">
        <f>IF($C20=0,0,((Weights!$D$6*($C20/100)-(0.1)+L$5/$S$5*10)+(Weights!$D$6*($C20/100)-(0.1)+L$5/$S$5*10)*((Inputs!$F$16/100)*Weights!$H$7)+(Weights!$D$6*($C20/100)-(0.1)+L$5/$S$5*10)*Weights!O$6)*$G$3)</f>
        <v>194.9032411764706</v>
      </c>
      <c r="M20" s="2">
        <f>IF($C20=0,0,((Weights!$D$6*($C20/100)-(0.1)+M$5/$S$5*10)+(Weights!$D$6*($C20/100)-(0.1)+M$5/$S$5*10)*((Inputs!$F$16/100)*Weights!$H$7)+(Weights!$D$6*($C20/100)-(0.1)+M$5/$S$5*10)*Weights!P$6)*$G$3)</f>
        <v>195.74441764705884</v>
      </c>
      <c r="N20" s="2">
        <f>IF($C20=0,0,((Weights!$D$6*($C20/100)-(0.1)+N$5/$S$5*10)+(Weights!$D$6*($C20/100)-(0.1)+N$5/$S$5*10)*((Inputs!$F$16/100)*Weights!$H$7)+(Weights!$D$6*($C20/100)-(0.1)+N$5/$S$5*10)*Weights!Q$6)*$G$3)</f>
        <v>196.52088823529411</v>
      </c>
      <c r="O20" s="2">
        <f>IF($C20=0,0,((Weights!$D$6*($C20/100)-(0.1)+O$5/$S$5*10)+(Weights!$D$6*($C20/100)-(0.1)+O$5/$S$5*10)*((Inputs!$F$16/100)*Weights!$H$7)+(Weights!$D$6*($C20/100)-(0.1)+O$5/$S$5*10)*Weights!R$6)*$G$3)</f>
        <v>197.36206470588237</v>
      </c>
      <c r="P20" s="2">
        <f>IF($C20=0,0,((Weights!$D$6*($C20/100)-(0.1)+P$5/$S$5*10)+(Weights!$D$6*($C20/100)-(0.1)+P$5/$S$5*10)*((Inputs!$F$16/100)*Weights!$H$7)+(Weights!$D$6*($C20/100)-(0.1)+P$5/$S$5*10)*Weights!S$6)*$G$3)</f>
        <v>198.13853529411764</v>
      </c>
      <c r="Q20" s="2">
        <f>IF($C20=0,0,((Weights!$D$6*($C20/100)-(0.1)+Q$5/$S$5*10)+(Weights!$D$6*($C20/100)-(0.1)+Q$5/$S$5*10)*((Inputs!$F$16/100)*Weights!$H$7)+(Weights!$D$6*($C20/100)-(0.1)+Q$5/$S$5*10)*Weights!T$6)*$G$3)</f>
        <v>198.97971176470591</v>
      </c>
      <c r="R20" s="2">
        <f>IF($C20=0,0,((Weights!$D$6*($C20/100)-(0.1)+R$5/$S$5*10)+(Weights!$D$6*($C20/100)-(0.1)+R$5/$S$5*10)*((Inputs!$F$16/100)*Weights!$H$7)+(Weights!$D$6*($C20/100)-(0.1)+R$5/$S$5*10)*Weights!U$6)*$G$3)</f>
        <v>199.75618235294118</v>
      </c>
      <c r="S20" s="2">
        <f>IF($C20=0,0,((Weights!$D$6*($C20/100)-(0.1)+S$5/$S$5*10)+(Weights!$D$6*($C20/100)-(0.1)+S$5/$S$5*10)*((Inputs!$F$16/100)*Weights!$H$7)+(Weights!$D$6*($C20/100)-(0.1)+S$5/$S$5*10)*Weights!V$6)*$G$3)</f>
        <v>201.05030000000002</v>
      </c>
    </row>
    <row r="21" spans="2:19" x14ac:dyDescent="0.25">
      <c r="C21" s="1">
        <f>Inputs!F35</f>
        <v>100</v>
      </c>
      <c r="D21" s="2">
        <f>IF($C21=0,0,((Weights!$D$6*($C21/100)-(0.1)+D$5/$S$5*10)+(Weights!$D$6*($C21/100)-(0.1)+D$5/$S$5*10)*((Inputs!$F$16/100)*Weights!$H$7)+(Weights!$D$6*($C21/100)-(0.1)+D$5/$S$5*10)*Weights!G$6)*$G$3)</f>
        <v>224.57858823529412</v>
      </c>
      <c r="E21" s="2">
        <f>IF($C21=0,0,((Weights!$D$6*($C21/100)-(0.1)+E$5/$S$5*10)+(Weights!$D$6*($C21/100)-(0.1)+E$5/$S$5*10)*((Inputs!$F$16/100)*Weights!$H$7)+(Weights!$D$6*($C21/100)-(0.1)+E$5/$S$5*10)*Weights!H$6)*$G$3)</f>
        <v>224.90211764705884</v>
      </c>
      <c r="F21" s="2">
        <f>IF($C21=0,0,((Weights!$D$6*($C21/100)-(0.1)+F$5/$S$5*10)+(Weights!$D$6*($C21/100)-(0.1)+F$5/$S$5*10)*((Inputs!$F$16/100)*Weights!$H$7)+(Weights!$D$6*($C21/100)-(0.1)+F$5/$S$5*10)*Weights!I$6)*$G$3)</f>
        <v>225.22564705882354</v>
      </c>
      <c r="G21" s="2">
        <f>IF($C21=0,0,((Weights!$D$6*($C21/100)-(0.1)+G$5/$S$5*10)+(Weights!$D$6*($C21/100)-(0.1)+G$5/$S$5*10)*((Inputs!$F$16/100)*Weights!$H$7)+(Weights!$D$6*($C21/100)-(0.1)+G$5/$S$5*10)*Weights!J$6)*$G$3)</f>
        <v>225.61388235294118</v>
      </c>
      <c r="H21" s="2">
        <f>IF($C21=0,0,((Weights!$D$6*($C21/100)-(0.1)+H$5/$S$5*10)+(Weights!$D$6*($C21/100)-(0.1)+H$5/$S$5*10)*((Inputs!$F$16/100)*Weights!$H$7)+(Weights!$D$6*($C21/100)-(0.1)+H$5/$S$5*10)*Weights!K$6)*$G$3)</f>
        <v>226.06682352941181</v>
      </c>
      <c r="I21" s="2">
        <f>IF($C21=0,0,((Weights!$D$6*($C21/100)-(0.1)+I$5/$S$5*10)+(Weights!$D$6*($C21/100)-(0.1)+I$5/$S$5*10)*((Inputs!$F$16/100)*Weights!$H$7)+(Weights!$D$6*($C21/100)-(0.1)+I$5/$S$5*10)*Weights!L$6)*$G$3)</f>
        <v>226.3903529411765</v>
      </c>
      <c r="J21" s="2">
        <f>IF($C21=0,0,((Weights!$D$6*($C21/100)-(0.1)+J$5/$S$5*10)+(Weights!$D$6*($C21/100)-(0.1)+J$5/$S$5*10)*((Inputs!$F$16/100)*Weights!$H$7)+(Weights!$D$6*($C21/100)-(0.1)+J$5/$S$5*10)*Weights!M$6)*$G$3)</f>
        <v>226.84329411764708</v>
      </c>
      <c r="K21" s="2">
        <f>IF($C21=0,0,((Weights!$D$6*($C21/100)-(0.1)+K$5/$S$5*10)+(Weights!$D$6*($C21/100)-(0.1)+K$5/$S$5*10)*((Inputs!$F$16/100)*Weights!$H$7)+(Weights!$D$6*($C21/100)-(0.1)+K$5/$S$5*10)*Weights!N$6)*$G$3)</f>
        <v>227.68447058823531</v>
      </c>
      <c r="L21" s="2">
        <f>IF($C21=0,0,((Weights!$D$6*($C21/100)-(0.1)+L$5/$S$5*10)+(Weights!$D$6*($C21/100)-(0.1)+L$5/$S$5*10)*((Inputs!$F$16/100)*Weights!$H$7)+(Weights!$D$6*($C21/100)-(0.1)+L$5/$S$5*10)*Weights!O$6)*$G$3)</f>
        <v>228.46094117647061</v>
      </c>
      <c r="M21" s="2">
        <f>IF($C21=0,0,((Weights!$D$6*($C21/100)-(0.1)+M$5/$S$5*10)+(Weights!$D$6*($C21/100)-(0.1)+M$5/$S$5*10)*((Inputs!$F$16/100)*Weights!$H$7)+(Weights!$D$6*($C21/100)-(0.1)+M$5/$S$5*10)*Weights!P$6)*$G$3)</f>
        <v>229.30211764705885</v>
      </c>
      <c r="N21" s="2">
        <f>IF($C21=0,0,((Weights!$D$6*($C21/100)-(0.1)+N$5/$S$5*10)+(Weights!$D$6*($C21/100)-(0.1)+N$5/$S$5*10)*((Inputs!$F$16/100)*Weights!$H$7)+(Weights!$D$6*($C21/100)-(0.1)+N$5/$S$5*10)*Weights!Q$6)*$G$3)</f>
        <v>230.07858823529412</v>
      </c>
      <c r="O21" s="2">
        <f>IF($C21=0,0,((Weights!$D$6*($C21/100)-(0.1)+O$5/$S$5*10)+(Weights!$D$6*($C21/100)-(0.1)+O$5/$S$5*10)*((Inputs!$F$16/100)*Weights!$H$7)+(Weights!$D$6*($C21/100)-(0.1)+O$5/$S$5*10)*Weights!R$6)*$G$3)</f>
        <v>230.91976470588239</v>
      </c>
      <c r="P21" s="2">
        <f>IF($C21=0,0,((Weights!$D$6*($C21/100)-(0.1)+P$5/$S$5*10)+(Weights!$D$6*($C21/100)-(0.1)+P$5/$S$5*10)*((Inputs!$F$16/100)*Weights!$H$7)+(Weights!$D$6*($C21/100)-(0.1)+P$5/$S$5*10)*Weights!S$6)*$G$3)</f>
        <v>231.69623529411766</v>
      </c>
      <c r="Q21" s="2">
        <f>IF($C21=0,0,((Weights!$D$6*($C21/100)-(0.1)+Q$5/$S$5*10)+(Weights!$D$6*($C21/100)-(0.1)+Q$5/$S$5*10)*((Inputs!$F$16/100)*Weights!$H$7)+(Weights!$D$6*($C21/100)-(0.1)+Q$5/$S$5*10)*Weights!T$6)*$G$3)</f>
        <v>232.53741176470592</v>
      </c>
      <c r="R21" s="2">
        <f>IF($C21=0,0,((Weights!$D$6*($C21/100)-(0.1)+R$5/$S$5*10)+(Weights!$D$6*($C21/100)-(0.1)+R$5/$S$5*10)*((Inputs!$F$16/100)*Weights!$H$7)+(Weights!$D$6*($C21/100)-(0.1)+R$5/$S$5*10)*Weights!U$6)*$G$3)</f>
        <v>233.31388235294119</v>
      </c>
      <c r="S21" s="2">
        <f>IF($C21=0,0,((Weights!$D$6*($C21/100)-(0.1)+S$5/$S$5*10)+(Weights!$D$6*($C21/100)-(0.1)+S$5/$S$5*10)*((Inputs!$F$16/100)*Weights!$H$7)+(Weights!$D$6*($C21/100)-(0.1)+S$5/$S$5*10)*Weights!V$6)*$G$3)</f>
        <v>234.60800000000003</v>
      </c>
    </row>
    <row r="25" spans="2:19" x14ac:dyDescent="0.25">
      <c r="B25" t="s">
        <v>33</v>
      </c>
      <c r="D25" s="31">
        <f>SUM(Inputs!G20:G35)</f>
        <v>1578.9348235294117</v>
      </c>
      <c r="E25" s="31">
        <f>SUM(Inputs!H20:H35)</f>
        <v>1583.7877647058826</v>
      </c>
      <c r="F25" s="31">
        <f>SUM(Inputs!I20:I35)</f>
        <v>1588.6407058823531</v>
      </c>
      <c r="G25" s="31">
        <f>SUM(Inputs!J20:J35)</f>
        <v>1594.4642352941175</v>
      </c>
      <c r="H25" s="31">
        <f>SUM(Inputs!K20:K35)</f>
        <v>1601.2583529411766</v>
      </c>
      <c r="I25" s="31">
        <f>SUM(Inputs!L20:L35)</f>
        <v>1606.1112941176475</v>
      </c>
      <c r="J25" s="31">
        <f>SUM(Inputs!M20:M35)</f>
        <v>1612.9054117647061</v>
      </c>
      <c r="K25" s="31">
        <f>SUM(Inputs!N20:N35)</f>
        <v>1625.5230588235297</v>
      </c>
      <c r="L25" s="31">
        <f>SUM(Inputs!O20:O35)</f>
        <v>1637.170117647059</v>
      </c>
      <c r="M25" s="31">
        <f>SUM(Inputs!P20:P35)</f>
        <v>1649.7877647058822</v>
      </c>
      <c r="N25" s="31">
        <f>SUM(Inputs!Q20:Q35)</f>
        <v>1661.4348235294117</v>
      </c>
      <c r="O25" s="31">
        <f>SUM(Inputs!R20:R35)</f>
        <v>1674.0524705882356</v>
      </c>
      <c r="P25" s="31">
        <f>SUM(Inputs!S20:S35)</f>
        <v>1685.6995294117651</v>
      </c>
      <c r="Q25" s="31">
        <f>SUM(Inputs!T20:T35)</f>
        <v>1698.3171764705883</v>
      </c>
      <c r="R25" s="31">
        <f>SUM(Inputs!U20:U35)</f>
        <v>1709.9642352941175</v>
      </c>
      <c r="S25" s="31">
        <f>SUM(Inputs!V20:V35)</f>
        <v>1729.3760000000002</v>
      </c>
    </row>
    <row r="26" spans="2:19" x14ac:dyDescent="0.25">
      <c r="D26" s="31">
        <f>MAX(Inputs!G21:G35)</f>
        <v>224.57858823529412</v>
      </c>
      <c r="E26" s="31">
        <f>MAX(Inputs!H21:H35)</f>
        <v>224.90211764705884</v>
      </c>
      <c r="F26" s="31">
        <f>MAX(Inputs!I21:I35)</f>
        <v>225.22564705882354</v>
      </c>
      <c r="G26" s="31">
        <f>MAX(Inputs!J21:J35)</f>
        <v>225.61388235294118</v>
      </c>
      <c r="H26" s="31">
        <f>MAX(Inputs!K21:K35)</f>
        <v>226.06682352941181</v>
      </c>
      <c r="I26" s="31">
        <f>MAX(Inputs!L21:L35)</f>
        <v>226.3903529411765</v>
      </c>
      <c r="J26" s="31">
        <f>MAX(Inputs!M21:M35)</f>
        <v>226.84329411764708</v>
      </c>
      <c r="K26" s="31">
        <f>MAX(Inputs!N21:N35)</f>
        <v>227.68447058823531</v>
      </c>
      <c r="L26" s="31">
        <f>MAX(Inputs!O21:O35)</f>
        <v>228.46094117647061</v>
      </c>
      <c r="M26" s="31">
        <f>MAX(Inputs!P21:P35)</f>
        <v>229.30211764705885</v>
      </c>
      <c r="N26" s="31">
        <f>MAX(Inputs!Q21:Q35)</f>
        <v>230.07858823529412</v>
      </c>
      <c r="O26" s="31">
        <f>MAX(Inputs!R21:R35)</f>
        <v>230.91976470588239</v>
      </c>
      <c r="P26" s="31">
        <f>MAX(Inputs!S21:S35)</f>
        <v>231.69623529411766</v>
      </c>
      <c r="Q26" s="31">
        <f>MAX(Inputs!T21:T35)</f>
        <v>232.53741176470592</v>
      </c>
      <c r="R26" s="31">
        <f>MAX(Inputs!U21:U35)</f>
        <v>233.31388235294119</v>
      </c>
      <c r="S26" s="31">
        <f>MAX(Inputs!V21:V35)</f>
        <v>234.60800000000003</v>
      </c>
    </row>
    <row r="28" spans="2:19" x14ac:dyDescent="0.25">
      <c r="B28" t="s">
        <v>36</v>
      </c>
      <c r="D28">
        <f>(((Inputs!$F$15*1000)+700)/10)</f>
        <v>210</v>
      </c>
      <c r="E28">
        <f>(((Inputs!$F$15*1000)+700)/10)</f>
        <v>210</v>
      </c>
      <c r="F28">
        <f>(((Inputs!$F$15*1000)+700)/10)</f>
        <v>210</v>
      </c>
      <c r="G28">
        <f>(((Inputs!$F$15*1000)+700)/10)</f>
        <v>210</v>
      </c>
      <c r="H28">
        <f>(((Inputs!$F$15*1000)+700)/10)</f>
        <v>210</v>
      </c>
      <c r="I28">
        <f>(((Inputs!$F$15*1000)+700)/10)</f>
        <v>210</v>
      </c>
      <c r="J28">
        <f>(((Inputs!$F$15*1000)+700)/10)</f>
        <v>210</v>
      </c>
      <c r="K28">
        <f>(((Inputs!$F$15*1000)+700)/10)</f>
        <v>210</v>
      </c>
      <c r="L28">
        <f>(((Inputs!$F$15*1000)+700)/10)</f>
        <v>210</v>
      </c>
      <c r="M28">
        <f>(((Inputs!$F$15*1000)+700)/10)</f>
        <v>210</v>
      </c>
      <c r="N28">
        <f>(((Inputs!$F$15*1000)+700)/10)</f>
        <v>210</v>
      </c>
      <c r="O28">
        <f>(((Inputs!$F$15*1000)+700)/10)</f>
        <v>210</v>
      </c>
      <c r="P28">
        <f>(((Inputs!$F$15*1000)+700)/10)</f>
        <v>210</v>
      </c>
      <c r="Q28">
        <f>(((Inputs!$F$15*1000)+700)/10)</f>
        <v>210</v>
      </c>
      <c r="R28">
        <f>(((Inputs!$F$15*1000)+700)/10)</f>
        <v>210</v>
      </c>
      <c r="S28">
        <f>(((Inputs!$F$15*1000)+700)/10)</f>
        <v>210</v>
      </c>
    </row>
    <row r="29" spans="2:19" x14ac:dyDescent="0.25">
      <c r="D29" s="2">
        <f>Inputs!G95-D28</f>
        <v>16</v>
      </c>
      <c r="E29" s="2">
        <f>Inputs!H95-E28</f>
        <v>18</v>
      </c>
      <c r="F29" s="2">
        <f>Inputs!I95-F28</f>
        <v>18</v>
      </c>
      <c r="G29" s="2">
        <f>Inputs!J95-G28</f>
        <v>19</v>
      </c>
      <c r="H29" s="2">
        <f>Inputs!K95-H28</f>
        <v>19</v>
      </c>
      <c r="I29" s="2">
        <f>Inputs!L95-I28</f>
        <v>18</v>
      </c>
      <c r="J29" s="2">
        <f>Inputs!M95-J28</f>
        <v>19</v>
      </c>
      <c r="K29" s="2">
        <f>Inputs!N95-K28</f>
        <v>20</v>
      </c>
      <c r="L29" s="2">
        <f>Inputs!O95-L28</f>
        <v>21</v>
      </c>
      <c r="M29" s="2">
        <f>Inputs!P95-M28</f>
        <v>22</v>
      </c>
      <c r="N29" s="2">
        <f>Inputs!Q95-N28</f>
        <v>22</v>
      </c>
      <c r="O29" s="2">
        <f>Inputs!R95-O28</f>
        <v>23</v>
      </c>
      <c r="P29" s="2">
        <f>Inputs!S95-P28</f>
        <v>24</v>
      </c>
      <c r="Q29" s="2">
        <f>Inputs!T95-Q28</f>
        <v>24</v>
      </c>
      <c r="R29" s="2">
        <f>Inputs!U95-R28</f>
        <v>24</v>
      </c>
      <c r="S29" s="2">
        <f>Inputs!V95-S28</f>
        <v>25</v>
      </c>
    </row>
    <row r="30" spans="2:19" x14ac:dyDescent="0.25">
      <c r="D30">
        <f>D28+(D29/5)</f>
        <v>213.2</v>
      </c>
      <c r="E30">
        <f t="shared" ref="E30:S30" si="0">E28+(E29/5)</f>
        <v>213.6</v>
      </c>
      <c r="F30">
        <f t="shared" si="0"/>
        <v>213.6</v>
      </c>
      <c r="G30">
        <f t="shared" si="0"/>
        <v>213.8</v>
      </c>
      <c r="H30">
        <f t="shared" si="0"/>
        <v>213.8</v>
      </c>
      <c r="I30">
        <f t="shared" si="0"/>
        <v>213.6</v>
      </c>
      <c r="J30">
        <f t="shared" si="0"/>
        <v>213.8</v>
      </c>
      <c r="K30">
        <f t="shared" si="0"/>
        <v>214</v>
      </c>
      <c r="L30">
        <f t="shared" si="0"/>
        <v>214.2</v>
      </c>
      <c r="M30">
        <f t="shared" si="0"/>
        <v>214.4</v>
      </c>
      <c r="N30">
        <f t="shared" si="0"/>
        <v>214.4</v>
      </c>
      <c r="O30">
        <f t="shared" si="0"/>
        <v>214.6</v>
      </c>
      <c r="P30">
        <f t="shared" si="0"/>
        <v>214.8</v>
      </c>
      <c r="Q30">
        <f t="shared" si="0"/>
        <v>214.8</v>
      </c>
      <c r="R30">
        <f t="shared" si="0"/>
        <v>214.8</v>
      </c>
      <c r="S30">
        <f t="shared" si="0"/>
        <v>215</v>
      </c>
    </row>
    <row r="31" spans="2:19" x14ac:dyDescent="0.25">
      <c r="D31">
        <f>D30+((D29*Inputs!$F$16)/100)-2</f>
        <v>217.6</v>
      </c>
      <c r="E31">
        <f>E30+((E29*Inputs!$F$16)/100)-2</f>
        <v>218.79999999999998</v>
      </c>
      <c r="F31">
        <f>F30+((F29*Inputs!$F$16)/100)-2</f>
        <v>218.79999999999998</v>
      </c>
      <c r="G31">
        <f>G30+((G29*Inputs!$F$16)/100)-2</f>
        <v>219.4</v>
      </c>
      <c r="H31">
        <f>H30+((H29*Inputs!$F$16)/100)-2</f>
        <v>219.4</v>
      </c>
      <c r="I31">
        <f>I30+((I29*Inputs!$F$16)/100)-2</f>
        <v>218.79999999999998</v>
      </c>
      <c r="J31">
        <f>J30+((J29*Inputs!$F$16)/100)-2</f>
        <v>219.4</v>
      </c>
      <c r="K31">
        <f>K30+((K29*Inputs!$F$16)/100)-2</f>
        <v>220</v>
      </c>
      <c r="L31">
        <f>L30+((L29*Inputs!$F$16)/100)-2</f>
        <v>220.6</v>
      </c>
      <c r="M31">
        <f>M30+((M29*Inputs!$F$16)/100)-2</f>
        <v>221.20000000000002</v>
      </c>
      <c r="N31">
        <f>N30+((N29*Inputs!$F$16)/100)-2</f>
        <v>221.20000000000002</v>
      </c>
      <c r="O31">
        <f>O30+((O29*Inputs!$F$16)/100)-2</f>
        <v>221.79999999999998</v>
      </c>
      <c r="P31">
        <f>P30+((P29*Inputs!$F$16)/100)-2</f>
        <v>222.4</v>
      </c>
      <c r="Q31">
        <f>Q30+((Q29*Inputs!$F$16)/100)-2</f>
        <v>222.4</v>
      </c>
      <c r="R31">
        <f>R30+((R29*Inputs!$F$16)/100)-2</f>
        <v>222.4</v>
      </c>
      <c r="S31">
        <f>S30+((S29*Inputs!$F$16)/100)-2</f>
        <v>223</v>
      </c>
    </row>
  </sheetData>
  <sheetProtection password="FD37" sheet="1" objects="1" scenarios="1"/>
  <conditionalFormatting sqref="D6:S21">
    <cfRule type="colorScale" priority="1">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Inputs</vt:lpstr>
      <vt:lpstr>Weights</vt:lpstr>
      <vt:lpstr>Calc</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Carter</dc:creator>
  <cp:lastModifiedBy>Chris Carter</cp:lastModifiedBy>
  <dcterms:created xsi:type="dcterms:W3CDTF">2019-12-23T20:32:50Z</dcterms:created>
  <dcterms:modified xsi:type="dcterms:W3CDTF">2020-02-04T17:19:53Z</dcterms:modified>
</cp:coreProperties>
</file>